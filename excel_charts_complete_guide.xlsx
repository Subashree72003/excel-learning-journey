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5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drawings/drawing9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7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19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0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2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P Traders\OneDrive\Desktop\"/>
    </mc:Choice>
  </mc:AlternateContent>
  <xr:revisionPtr revIDLastSave="0" documentId="13_ncr:1_{21730EA2-78AB-4955-90AD-624D29090850}" xr6:coauthVersionLast="47" xr6:coauthVersionMax="47" xr10:uidLastSave="{00000000-0000-0000-0000-000000000000}"/>
  <bookViews>
    <workbookView xWindow="-108" yWindow="-108" windowWidth="23256" windowHeight="12456" firstSheet="6" activeTab="10" xr2:uid="{D5C947D5-66B7-43A5-B068-DC9D02373BBC}"/>
  </bookViews>
  <sheets>
    <sheet name="BAR AND COLUMN GRAPH" sheetId="1" r:id="rId1"/>
    <sheet name="HIERARCHICAL CHART" sheetId="2" r:id="rId2"/>
    <sheet name="FUNNEL CHART" sheetId="3" r:id="rId3"/>
    <sheet name="WATERFALL CHART" sheetId="6" r:id="rId4"/>
    <sheet name="LINE&amp;AREA CHART" sheetId="4" r:id="rId5"/>
    <sheet name="PIE AND DOUGHNUT CHART" sheetId="5" r:id="rId6"/>
    <sheet name="COMBO CHART" sheetId="7" r:id="rId7"/>
    <sheet name="web source -map" sheetId="10" r:id="rId8"/>
    <sheet name="SORT DEC AND ASCE" sheetId="9" r:id="rId9"/>
    <sheet name="BUBBLE AND SCATTER CHART" sheetId="8" r:id="rId10"/>
    <sheet name="RADAR CHART" sheetId="11" r:id="rId11"/>
  </sheets>
  <definedNames>
    <definedName name="_xlchart.v1.0" hidden="1">'HIERARCHICAL CHART'!$A$2:$A$8</definedName>
    <definedName name="_xlchart.v1.1" hidden="1">'HIERARCHICAL CHART'!$B$1</definedName>
    <definedName name="_xlchart.v1.10" hidden="1">'WATERFALL CHART'!$A$2:$A$11</definedName>
    <definedName name="_xlchart.v1.11" hidden="1">'WATERFALL CHART'!$B$1</definedName>
    <definedName name="_xlchart.v1.12" hidden="1">'WATERFALL CHART'!$B$2:$B$11</definedName>
    <definedName name="_xlchart.v1.17" hidden="1">'RADAR CHART'!$A$1:$C$1</definedName>
    <definedName name="_xlchart.v1.18" hidden="1">'RADAR CHART'!$A$2:$C$2</definedName>
    <definedName name="_xlchart.v1.19" hidden="1">'RADAR CHART'!$A$3:$C$3</definedName>
    <definedName name="_xlchart.v1.2" hidden="1">'HIERARCHICAL CHART'!$B$2:$B$8</definedName>
    <definedName name="_xlchart.v1.20" hidden="1">'RADAR CHART'!$A$1:$C$1</definedName>
    <definedName name="_xlchart.v1.21" hidden="1">'RADAR CHART'!$A$2:$C$2</definedName>
    <definedName name="_xlchart.v1.22" hidden="1">'RADAR CHART'!$A$3:$C$3</definedName>
    <definedName name="_xlchart.v1.3" hidden="1">'HIERARCHICAL CHART'!$A$20:$B$28</definedName>
    <definedName name="_xlchart.v1.4" hidden="1">'HIERARCHICAL CHART'!$C$19</definedName>
    <definedName name="_xlchart.v1.5" hidden="1">'HIERARCHICAL CHART'!$C$20:$C$28</definedName>
    <definedName name="_xlchart.v1.9" hidden="1">'WATERFALL CHART'!$A$1</definedName>
    <definedName name="_xlchart.v2.6" hidden="1">'FUNNEL CHART'!$A$2:$A$11</definedName>
    <definedName name="_xlchart.v2.7" hidden="1">'FUNNEL CHART'!$B$1</definedName>
    <definedName name="_xlchart.v2.8" hidden="1">'FUNNEL CHART'!$B$2:$B$11</definedName>
    <definedName name="_xlchart.v5.13" hidden="1">'web source -map'!$A$1</definedName>
    <definedName name="_xlchart.v5.14" hidden="1">'web source -map'!$A$2:$A$30</definedName>
    <definedName name="_xlchart.v5.15" hidden="1">'web source -map'!$H$1</definedName>
    <definedName name="_xlchart.v5.16" hidden="1">'web source -map'!$H$2:$H$30</definedName>
    <definedName name="ExternalData_1" localSheetId="7" hidden="1">'web source -map'!$A$1:$K$30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3" i="9" l="1"/>
  <c r="L12" i="9" a="1"/>
  <c r="L12" i="9" s="1"/>
  <c r="K29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5D8192-0427-4301-ACC4-521ADCE1B063}" keepAlive="1" name="Query - Table 5" description="Connection to the 'Table 5' query in the workbook." type="5" refreshedVersion="8" background="1" saveData="1">
    <dbPr connection="Provider=Microsoft.Mashup.OleDb.1;Data Source=$Workbook$;Location=&quot;Table 5&quot;;Extended Properties=&quot;&quot;" command="SELECT * FROM [Table 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<sst xmlns="http://schemas.openxmlformats.org/spreadsheetml/2006/main" count="426" uniqueCount="309">
  <si>
    <t>person</t>
  </si>
  <si>
    <t>salary</t>
  </si>
  <si>
    <t>A</t>
  </si>
  <si>
    <t>B</t>
  </si>
  <si>
    <t>C</t>
  </si>
  <si>
    <t>D</t>
  </si>
  <si>
    <t>E</t>
  </si>
  <si>
    <t>BOTH CAN BE USED FOR ONLY 2 COLUMNS</t>
  </si>
  <si>
    <t>MONTH</t>
  </si>
  <si>
    <t>JAN</t>
  </si>
  <si>
    <t>FEB</t>
  </si>
  <si>
    <t>MARCH</t>
  </si>
  <si>
    <t>APRIL</t>
  </si>
  <si>
    <t>MAY</t>
  </si>
  <si>
    <t>PERSON A</t>
  </si>
  <si>
    <t>PERSON B</t>
  </si>
  <si>
    <t>PERSON C</t>
  </si>
  <si>
    <t>BOTH CAN BE USED FOR ONLY  MORE THAN 2 COLUMNS</t>
  </si>
  <si>
    <t>EMPNAME</t>
  </si>
  <si>
    <t>SALARY</t>
  </si>
  <si>
    <t>SUBA</t>
  </si>
  <si>
    <t>SHREE</t>
  </si>
  <si>
    <t>HARINI</t>
  </si>
  <si>
    <t>KAVYA</t>
  </si>
  <si>
    <t>DIVYA</t>
  </si>
  <si>
    <t>HARRIS</t>
  </si>
  <si>
    <t>SAFFRINN</t>
  </si>
  <si>
    <t>REGION</t>
  </si>
  <si>
    <t>WEST</t>
  </si>
  <si>
    <t>EAST</t>
  </si>
  <si>
    <t>NORTH</t>
  </si>
  <si>
    <t>CATEGORY</t>
  </si>
  <si>
    <t>SALES</t>
  </si>
  <si>
    <t>STUDENTS</t>
  </si>
  <si>
    <t>MARKS</t>
  </si>
  <si>
    <t>MOHAMMED</t>
  </si>
  <si>
    <t>NUSRATH</t>
  </si>
  <si>
    <t>DHANUSH</t>
  </si>
  <si>
    <t>MONA</t>
  </si>
  <si>
    <t>SUJITH</t>
  </si>
  <si>
    <t>SAKTHI</t>
  </si>
  <si>
    <t>PROFIT</t>
  </si>
  <si>
    <t>ORDER OF DATE</t>
  </si>
  <si>
    <t xml:space="preserve">SOUTH </t>
  </si>
  <si>
    <t>2 columns so 2 circles</t>
  </si>
  <si>
    <t>Z-A</t>
  </si>
  <si>
    <t>MAR</t>
  </si>
  <si>
    <t>JUNE</t>
  </si>
  <si>
    <t>APR</t>
  </si>
  <si>
    <t>JUN</t>
  </si>
  <si>
    <t>State</t>
  </si>
  <si>
    <t>ISO</t>
  </si>
  <si>
    <t>Vehiclecode</t>
  </si>
  <si>
    <t>Zone</t>
  </si>
  <si>
    <t>Capital</t>
  </si>
  <si>
    <t>Largest city</t>
  </si>
  <si>
    <t>Statehood</t>
  </si>
  <si>
    <t>Population(2011)[27][28]</t>
  </si>
  <si>
    <t>Area(km2)</t>
  </si>
  <si>
    <t>Officiallanguages[29]</t>
  </si>
  <si>
    <t>Additional officiallanguages[29]</t>
  </si>
  <si>
    <t>Andhra Pradesh</t>
  </si>
  <si>
    <t>IN-AP</t>
  </si>
  <si>
    <t>AP</t>
  </si>
  <si>
    <t>Southern</t>
  </si>
  <si>
    <t>Amaravati[30]</t>
  </si>
  <si>
    <t>Visakhapatnam</t>
  </si>
  <si>
    <t>49,506,799</t>
  </si>
  <si>
    <t>162,975</t>
  </si>
  <si>
    <t>Telugu</t>
  </si>
  <si>
    <t>Urdu[31]</t>
  </si>
  <si>
    <t>Arunachal Pradesh</t>
  </si>
  <si>
    <t>IN-AR</t>
  </si>
  <si>
    <t>AR</t>
  </si>
  <si>
    <t>North-Eastern</t>
  </si>
  <si>
    <t>Itanagar</t>
  </si>
  <si>
    <t>1,383,727</t>
  </si>
  <si>
    <t>83,743</t>
  </si>
  <si>
    <t>English</t>
  </si>
  <si>
    <t>—</t>
  </si>
  <si>
    <t>Assam</t>
  </si>
  <si>
    <t>IN-AS</t>
  </si>
  <si>
    <t>AS</t>
  </si>
  <si>
    <t>Dispur</t>
  </si>
  <si>
    <t>Guwahati</t>
  </si>
  <si>
    <t>31,205,576</t>
  </si>
  <si>
    <t>78,438</t>
  </si>
  <si>
    <t>Assamese, Boro</t>
  </si>
  <si>
    <t>Bengali, Meitei[32]</t>
  </si>
  <si>
    <t>Bihar</t>
  </si>
  <si>
    <t>IN-BR</t>
  </si>
  <si>
    <t>BR</t>
  </si>
  <si>
    <t>Eastern</t>
  </si>
  <si>
    <t>Patna</t>
  </si>
  <si>
    <t>104,099,452</t>
  </si>
  <si>
    <t>94,163</t>
  </si>
  <si>
    <t>Hindi</t>
  </si>
  <si>
    <t>Urdu</t>
  </si>
  <si>
    <t>Chhattisgarh</t>
  </si>
  <si>
    <t>IN-CG</t>
  </si>
  <si>
    <t>CG</t>
  </si>
  <si>
    <t>Central</t>
  </si>
  <si>
    <t>Raipur[b]</t>
  </si>
  <si>
    <t>25,545,198</t>
  </si>
  <si>
    <t>135,194</t>
  </si>
  <si>
    <t>Chhattisgarhi</t>
  </si>
  <si>
    <t>Goa</t>
  </si>
  <si>
    <t>IN-GA</t>
  </si>
  <si>
    <t>GA</t>
  </si>
  <si>
    <t>Western</t>
  </si>
  <si>
    <t>Panaji</t>
  </si>
  <si>
    <t>Vasco da Gama</t>
  </si>
  <si>
    <t>1,458,545</t>
  </si>
  <si>
    <t>3,702</t>
  </si>
  <si>
    <t>Konkani</t>
  </si>
  <si>
    <t>Marathi</t>
  </si>
  <si>
    <t>Gujarat</t>
  </si>
  <si>
    <t>IN-GJ</t>
  </si>
  <si>
    <t>GJ</t>
  </si>
  <si>
    <t>Gandhinagar</t>
  </si>
  <si>
    <t>Ahmedabad</t>
  </si>
  <si>
    <t>60,439,692</t>
  </si>
  <si>
    <t>196,024</t>
  </si>
  <si>
    <t>Gujarati, Hindi</t>
  </si>
  <si>
    <t>Haryana</t>
  </si>
  <si>
    <t>IN-HR</t>
  </si>
  <si>
    <t>HR</t>
  </si>
  <si>
    <t>Northern</t>
  </si>
  <si>
    <t>Chandigarh</t>
  </si>
  <si>
    <t>Faridabad</t>
  </si>
  <si>
    <t>25,351,462</t>
  </si>
  <si>
    <t>44,212</t>
  </si>
  <si>
    <t>Punjabi[33]</t>
  </si>
  <si>
    <t>Himachal Pradesh</t>
  </si>
  <si>
    <t>IN-HP</t>
  </si>
  <si>
    <t>HP</t>
  </si>
  <si>
    <t>Shimla (Summer)Dharamshala (Winter)[34]</t>
  </si>
  <si>
    <t>Shimla</t>
  </si>
  <si>
    <t>6,864,602</t>
  </si>
  <si>
    <t>55,673</t>
  </si>
  <si>
    <t>Sanskrit[35]</t>
  </si>
  <si>
    <t>Jharkhand</t>
  </si>
  <si>
    <t>IN-JH</t>
  </si>
  <si>
    <t>JH</t>
  </si>
  <si>
    <t>Ranchi</t>
  </si>
  <si>
    <t>Jamshedpur</t>
  </si>
  <si>
    <t>32,988,134</t>
  </si>
  <si>
    <t>79,714</t>
  </si>
  <si>
    <t>Angika, Bengali, Bhojpuri, Bhumij, Ho, Kharia, Khortha, Kurmali, Kurukh, Magahi, Maithili, Mundari, Nagpuri, Odia, Santali, Urdu[36][37]</t>
  </si>
  <si>
    <t>Karnataka</t>
  </si>
  <si>
    <t>IN-KA</t>
  </si>
  <si>
    <t>KA</t>
  </si>
  <si>
    <t>Bengaluru</t>
  </si>
  <si>
    <t>61,095,297</t>
  </si>
  <si>
    <t>191,791</t>
  </si>
  <si>
    <t>Kannada</t>
  </si>
  <si>
    <t>Kerala</t>
  </si>
  <si>
    <t>IN-KL</t>
  </si>
  <si>
    <t>KL</t>
  </si>
  <si>
    <t>Thiruvananthapuram</t>
  </si>
  <si>
    <t>33,406,061</t>
  </si>
  <si>
    <t>38,863</t>
  </si>
  <si>
    <t>Malayalam</t>
  </si>
  <si>
    <t>English[38]</t>
  </si>
  <si>
    <t>Madhya Pradesh</t>
  </si>
  <si>
    <t>IN-MP</t>
  </si>
  <si>
    <t>MP</t>
  </si>
  <si>
    <t>Bhopal</t>
  </si>
  <si>
    <t>Indore</t>
  </si>
  <si>
    <t>72,626,809</t>
  </si>
  <si>
    <t>308,252</t>
  </si>
  <si>
    <t>Maharashtra</t>
  </si>
  <si>
    <t>IN-MH</t>
  </si>
  <si>
    <t>MH</t>
  </si>
  <si>
    <t>Mumbai (Summer)Nagpur (Winter)[39][40]</t>
  </si>
  <si>
    <t>Mumbai</t>
  </si>
  <si>
    <t>112,374,333</t>
  </si>
  <si>
    <t>307,713</t>
  </si>
  <si>
    <t>Manipur</t>
  </si>
  <si>
    <t>IN-MN</t>
  </si>
  <si>
    <t>MN</t>
  </si>
  <si>
    <t>Imphal</t>
  </si>
  <si>
    <t>2,855,794</t>
  </si>
  <si>
    <t>22,327</t>
  </si>
  <si>
    <t>Meitei</t>
  </si>
  <si>
    <t>Meghalaya</t>
  </si>
  <si>
    <t>IN-ML</t>
  </si>
  <si>
    <t>ML</t>
  </si>
  <si>
    <t>Shillong</t>
  </si>
  <si>
    <t>2,966,889</t>
  </si>
  <si>
    <t>22,429</t>
  </si>
  <si>
    <t>Mizoram</t>
  </si>
  <si>
    <t>IN-MZ</t>
  </si>
  <si>
    <t>MZ</t>
  </si>
  <si>
    <t>Aizawl</t>
  </si>
  <si>
    <t>1,097,206</t>
  </si>
  <si>
    <t>21,081</t>
  </si>
  <si>
    <t>Mizo, English</t>
  </si>
  <si>
    <t>Nagaland</t>
  </si>
  <si>
    <t>IN-NL</t>
  </si>
  <si>
    <t>NL</t>
  </si>
  <si>
    <t>Kohima</t>
  </si>
  <si>
    <t>Dimapur</t>
  </si>
  <si>
    <t>1,978,502</t>
  </si>
  <si>
    <t>16,579</t>
  </si>
  <si>
    <t>Odisha</t>
  </si>
  <si>
    <t>IN-OD</t>
  </si>
  <si>
    <t>OD</t>
  </si>
  <si>
    <t>Bhubaneswar</t>
  </si>
  <si>
    <t>41,974,218</t>
  </si>
  <si>
    <t>155,707</t>
  </si>
  <si>
    <t>Odia</t>
  </si>
  <si>
    <t>Punjab</t>
  </si>
  <si>
    <t>IN-PB</t>
  </si>
  <si>
    <t>PB</t>
  </si>
  <si>
    <t>Ludhiana</t>
  </si>
  <si>
    <t>27,743,338</t>
  </si>
  <si>
    <t>50,362</t>
  </si>
  <si>
    <t>Punjabi</t>
  </si>
  <si>
    <t>Rajasthan</t>
  </si>
  <si>
    <t>IN-RJ</t>
  </si>
  <si>
    <t>RJ</t>
  </si>
  <si>
    <t>Jaipur</t>
  </si>
  <si>
    <t>68,548,437</t>
  </si>
  <si>
    <t>342,239</t>
  </si>
  <si>
    <t>Sikkim</t>
  </si>
  <si>
    <t>IN-SK</t>
  </si>
  <si>
    <t>SK</t>
  </si>
  <si>
    <t>Gangtok</t>
  </si>
  <si>
    <t>610,577</t>
  </si>
  <si>
    <t>7,096</t>
  </si>
  <si>
    <t>Nepali, Sikkimese, Lepcha, English[41]</t>
  </si>
  <si>
    <t>Gurung, Limbu, Magar, Mukhia, Newari, Rai, Sherpa, Tamang</t>
  </si>
  <si>
    <t>Tamil Nadu</t>
  </si>
  <si>
    <t>IN-TN</t>
  </si>
  <si>
    <t>TN</t>
  </si>
  <si>
    <t>Chennai</t>
  </si>
  <si>
    <t>72,147,030</t>
  </si>
  <si>
    <t>130,058</t>
  </si>
  <si>
    <t>Tamil</t>
  </si>
  <si>
    <t>Telangana</t>
  </si>
  <si>
    <t>IN-TS</t>
  </si>
  <si>
    <t>TG[42]</t>
  </si>
  <si>
    <t>Hyderabad[c]</t>
  </si>
  <si>
    <t>35,193,978[46]</t>
  </si>
  <si>
    <t>112,077[46]</t>
  </si>
  <si>
    <t>Urdu[47]</t>
  </si>
  <si>
    <t>Tripura</t>
  </si>
  <si>
    <t>IN-TR</t>
  </si>
  <si>
    <t>TR</t>
  </si>
  <si>
    <t>Agartala</t>
  </si>
  <si>
    <t>3,673,917</t>
  </si>
  <si>
    <t>10,491</t>
  </si>
  <si>
    <t>Bengali, English, Kokborok</t>
  </si>
  <si>
    <t>Uttar Pradesh</t>
  </si>
  <si>
    <t>IN-UP</t>
  </si>
  <si>
    <t>UP</t>
  </si>
  <si>
    <t>Lucknow</t>
  </si>
  <si>
    <t>199,812,341</t>
  </si>
  <si>
    <t>240,928</t>
  </si>
  <si>
    <t>Uttarakhand</t>
  </si>
  <si>
    <t>IN-UK</t>
  </si>
  <si>
    <t>UK</t>
  </si>
  <si>
    <t>Bhararisain (Summer)Dehradun (Winter)[48]</t>
  </si>
  <si>
    <t>Dehradun</t>
  </si>
  <si>
    <t>10,086,292</t>
  </si>
  <si>
    <t>53,483</t>
  </si>
  <si>
    <t>Sanskrit[49]</t>
  </si>
  <si>
    <t>West Bengal</t>
  </si>
  <si>
    <t>IN-WB</t>
  </si>
  <si>
    <t>WB</t>
  </si>
  <si>
    <t>Kolkata</t>
  </si>
  <si>
    <t>91,276,115</t>
  </si>
  <si>
    <t>88,752</t>
  </si>
  <si>
    <t>Bengali, English</t>
  </si>
  <si>
    <t>Nepali,[d] Hindi, Odia, Punjabi, Santali, Telugu, Urdu, Kamatapuri, Rajbanshi, Kurmali, Kurukh[e]</t>
  </si>
  <si>
    <t>Total</t>
  </si>
  <si>
    <t/>
  </si>
  <si>
    <t>1,178,310,321</t>
  </si>
  <si>
    <t>3,054,066</t>
  </si>
  <si>
    <t>suba</t>
  </si>
  <si>
    <t>ria</t>
  </si>
  <si>
    <t>shree</t>
  </si>
  <si>
    <t>harris</t>
  </si>
  <si>
    <t>kumar</t>
  </si>
  <si>
    <t>sakthi</t>
  </si>
  <si>
    <t>sujith</t>
  </si>
  <si>
    <t>mona</t>
  </si>
  <si>
    <t>nusrath</t>
  </si>
  <si>
    <t>dhanush</t>
  </si>
  <si>
    <t>mark</t>
  </si>
  <si>
    <t>sam</t>
  </si>
  <si>
    <t>rio</t>
  </si>
  <si>
    <t>vijay</t>
  </si>
  <si>
    <t>thomas</t>
  </si>
  <si>
    <t>anytony</t>
  </si>
  <si>
    <t>park</t>
  </si>
  <si>
    <t>jimin</t>
  </si>
  <si>
    <t>tae</t>
  </si>
  <si>
    <t>gayathri</t>
  </si>
  <si>
    <t>priya</t>
  </si>
  <si>
    <t>simran</t>
  </si>
  <si>
    <t>tony</t>
  </si>
  <si>
    <t>stark</t>
  </si>
  <si>
    <t>sort helps to sort data in ascending (1) and decending(-1)</t>
  </si>
  <si>
    <t>STUDENT NAME</t>
  </si>
  <si>
    <t>X</t>
  </si>
  <si>
    <t>Y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</si>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</sst>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14" fontId="0" fillId="0" borderId="0" xfId="0" applyNumberFormat="1"/>
    <xf numFmtId="0" fontId="0" fillId="0" borderId="0" xfId="0" applyNumberFormat="1"/>
    <xf numFmtId="0" fontId="4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</a:t>
            </a:r>
            <a:r>
              <a:rPr lang="en-US" baseline="0"/>
              <a:t> CHART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78939358964494"/>
          <c:y val="0.3712037037037037"/>
          <c:w val="0.84454611129634849"/>
          <c:h val="0.543966170895304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AND COLUMN GRAPH'!$B$1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'BAR AND COLUMN GRAPH'!$A$2:$A$6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'BAR AND COLUMN GRAPH'!$B$2:$B$6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15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7-4193-8996-6FBEDA8398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46947791"/>
        <c:axId val="2046954031"/>
      </c:barChart>
      <c:catAx>
        <c:axId val="2046947791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954031"/>
        <c:crosses val="autoZero"/>
        <c:auto val="1"/>
        <c:lblAlgn val="ctr"/>
        <c:lblOffset val="100"/>
        <c:noMultiLvlLbl val="0"/>
      </c:catAx>
      <c:valAx>
        <c:axId val="204695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94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COLUMN</a:t>
            </a:r>
            <a:r>
              <a:rPr lang="en-US" baseline="0"/>
              <a:t> CHART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7947085975307853"/>
          <c:y val="2.9239766081871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580927384076992E-2"/>
          <c:y val="2.5428331875182269E-2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 AND COLUMN GRAPH'!$B$1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'BAR AND COLUMN GRAPH'!$A$2:$A$6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'BAR AND COLUMN GRAPH'!$B$2:$B$6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15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1-48C2-8A9F-8C23302D26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3177583"/>
        <c:axId val="2053167983"/>
      </c:barChart>
      <c:catAx>
        <c:axId val="20531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167983"/>
        <c:crosses val="autoZero"/>
        <c:auto val="1"/>
        <c:lblAlgn val="ctr"/>
        <c:lblOffset val="100"/>
        <c:noMultiLvlLbl val="0"/>
      </c:catAx>
      <c:valAx>
        <c:axId val="205316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1775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CLUSTERED</a:t>
            </a:r>
            <a:r>
              <a:rPr lang="en-IN" baseline="0"/>
              <a:t> COLUM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AND COLUMN GRAPH'!$B$21</c:f>
              <c:strCache>
                <c:ptCount val="1"/>
                <c:pt idx="0">
                  <c:v>PERSON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GRAPH'!$B$22:$B$26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F-478E-9965-BCF30C76E80A}"/>
            </c:ext>
          </c:extLst>
        </c:ser>
        <c:ser>
          <c:idx val="1"/>
          <c:order val="1"/>
          <c:tx>
            <c:strRef>
              <c:f>'BAR AND COLUMN GRAPH'!$C$21</c:f>
              <c:strCache>
                <c:ptCount val="1"/>
                <c:pt idx="0">
                  <c:v>PERSON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GRAPH'!$C$22:$C$26</c:f>
              <c:numCache>
                <c:formatCode>General</c:formatCode>
                <c:ptCount val="5"/>
                <c:pt idx="0">
                  <c:v>45</c:v>
                </c:pt>
                <c:pt idx="1">
                  <c:v>78</c:v>
                </c:pt>
                <c:pt idx="2">
                  <c:v>31</c:v>
                </c:pt>
                <c:pt idx="3">
                  <c:v>66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3F-478E-9965-BCF30C76E80A}"/>
            </c:ext>
          </c:extLst>
        </c:ser>
        <c:ser>
          <c:idx val="2"/>
          <c:order val="2"/>
          <c:tx>
            <c:strRef>
              <c:f>'BAR AND COLUMN GRAPH'!$D$21</c:f>
              <c:strCache>
                <c:ptCount val="1"/>
                <c:pt idx="0">
                  <c:v>PERSON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GRAPH'!$D$22:$D$26</c:f>
              <c:numCache>
                <c:formatCode>General</c:formatCode>
                <c:ptCount val="5"/>
                <c:pt idx="0">
                  <c:v>78</c:v>
                </c:pt>
                <c:pt idx="1">
                  <c:v>96</c:v>
                </c:pt>
                <c:pt idx="2">
                  <c:v>45</c:v>
                </c:pt>
                <c:pt idx="3">
                  <c:v>12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3F-478E-9965-BCF30C76E8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5077615"/>
        <c:axId val="2115069455"/>
      </c:barChart>
      <c:catAx>
        <c:axId val="211507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069455"/>
        <c:crosses val="autoZero"/>
        <c:auto val="1"/>
        <c:lblAlgn val="ctr"/>
        <c:lblOffset val="100"/>
        <c:noMultiLvlLbl val="0"/>
      </c:catAx>
      <c:valAx>
        <c:axId val="211506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07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STACK</a:t>
            </a:r>
            <a:r>
              <a:rPr lang="en-IN" baseline="0"/>
              <a:t>  COLUMN CHART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AND COLUMN GRAPH'!$B$21</c:f>
              <c:strCache>
                <c:ptCount val="1"/>
                <c:pt idx="0">
                  <c:v>PERSON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GRAPH'!$B$22:$B$26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D-4423-90A1-B3C81322CEB4}"/>
            </c:ext>
          </c:extLst>
        </c:ser>
        <c:ser>
          <c:idx val="1"/>
          <c:order val="1"/>
          <c:tx>
            <c:strRef>
              <c:f>'BAR AND COLUMN GRAPH'!$C$21</c:f>
              <c:strCache>
                <c:ptCount val="1"/>
                <c:pt idx="0">
                  <c:v>PERSON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GRAPH'!$C$22:$C$26</c:f>
              <c:numCache>
                <c:formatCode>General</c:formatCode>
                <c:ptCount val="5"/>
                <c:pt idx="0">
                  <c:v>45</c:v>
                </c:pt>
                <c:pt idx="1">
                  <c:v>78</c:v>
                </c:pt>
                <c:pt idx="2">
                  <c:v>31</c:v>
                </c:pt>
                <c:pt idx="3">
                  <c:v>66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CD-4423-90A1-B3C81322CEB4}"/>
            </c:ext>
          </c:extLst>
        </c:ser>
        <c:ser>
          <c:idx val="2"/>
          <c:order val="2"/>
          <c:tx>
            <c:strRef>
              <c:f>'BAR AND COLUMN GRAPH'!$D$21</c:f>
              <c:strCache>
                <c:ptCount val="1"/>
                <c:pt idx="0">
                  <c:v>PERSON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GRAPH'!$D$22:$D$26</c:f>
              <c:numCache>
                <c:formatCode>General</c:formatCode>
                <c:ptCount val="5"/>
                <c:pt idx="0">
                  <c:v>78</c:v>
                </c:pt>
                <c:pt idx="1">
                  <c:v>96</c:v>
                </c:pt>
                <c:pt idx="2">
                  <c:v>45</c:v>
                </c:pt>
                <c:pt idx="3">
                  <c:v>12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CD-4423-90A1-B3C81322CE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5404943"/>
        <c:axId val="2055400623"/>
      </c:barChart>
      <c:catAx>
        <c:axId val="205540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400623"/>
        <c:crosses val="autoZero"/>
        <c:auto val="1"/>
        <c:lblAlgn val="ctr"/>
        <c:lblOffset val="100"/>
        <c:noMultiLvlLbl val="0"/>
      </c:catAx>
      <c:valAx>
        <c:axId val="205540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40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100%</a:t>
            </a:r>
            <a:r>
              <a:rPr lang="en-IN" baseline="0"/>
              <a:t> COLUMN CHART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'BAR AND COLUMN GRAPH'!$B$21</c:f>
              <c:strCache>
                <c:ptCount val="1"/>
                <c:pt idx="0">
                  <c:v>PERSON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GRAPH'!$B$22:$B$26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8-4DCD-B924-DE603CE95A5B}"/>
            </c:ext>
          </c:extLst>
        </c:ser>
        <c:ser>
          <c:idx val="1"/>
          <c:order val="1"/>
          <c:tx>
            <c:strRef>
              <c:f>'BAR AND COLUMN GRAPH'!$C$21</c:f>
              <c:strCache>
                <c:ptCount val="1"/>
                <c:pt idx="0">
                  <c:v>PERSON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GRAPH'!$C$22:$C$26</c:f>
              <c:numCache>
                <c:formatCode>General</c:formatCode>
                <c:ptCount val="5"/>
                <c:pt idx="0">
                  <c:v>45</c:v>
                </c:pt>
                <c:pt idx="1">
                  <c:v>78</c:v>
                </c:pt>
                <c:pt idx="2">
                  <c:v>31</c:v>
                </c:pt>
                <c:pt idx="3">
                  <c:v>66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18-4DCD-B924-DE603CE95A5B}"/>
            </c:ext>
          </c:extLst>
        </c:ser>
        <c:ser>
          <c:idx val="2"/>
          <c:order val="2"/>
          <c:tx>
            <c:strRef>
              <c:f>'BAR AND COLUMN GRAPH'!$D$21</c:f>
              <c:strCache>
                <c:ptCount val="1"/>
                <c:pt idx="0">
                  <c:v>PERSON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GRAPH'!$D$22:$D$26</c:f>
              <c:numCache>
                <c:formatCode>General</c:formatCode>
                <c:ptCount val="5"/>
                <c:pt idx="0">
                  <c:v>78</c:v>
                </c:pt>
                <c:pt idx="1">
                  <c:v>96</c:v>
                </c:pt>
                <c:pt idx="2">
                  <c:v>45</c:v>
                </c:pt>
                <c:pt idx="3">
                  <c:v>12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18-4DCD-B924-DE603CE95A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56341567"/>
        <c:axId val="1856347327"/>
      </c:barChart>
      <c:catAx>
        <c:axId val="185634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347327"/>
        <c:crosses val="autoZero"/>
        <c:auto val="1"/>
        <c:lblAlgn val="ctr"/>
        <c:lblOffset val="100"/>
        <c:noMultiLvlLbl val="0"/>
      </c:catAx>
      <c:valAx>
        <c:axId val="185634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34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CLUSTERD</a:t>
            </a:r>
            <a:r>
              <a:rPr lang="en-IN" baseline="0"/>
              <a:t> BAR CHART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AND COLUMN GRAPH'!$B$21</c:f>
              <c:strCache>
                <c:ptCount val="1"/>
                <c:pt idx="0">
                  <c:v>PERSON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GRAPH'!$B$22:$B$26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6-4AAA-B935-949DF79500BD}"/>
            </c:ext>
          </c:extLst>
        </c:ser>
        <c:ser>
          <c:idx val="1"/>
          <c:order val="1"/>
          <c:tx>
            <c:strRef>
              <c:f>'BAR AND COLUMN GRAPH'!$C$21</c:f>
              <c:strCache>
                <c:ptCount val="1"/>
                <c:pt idx="0">
                  <c:v>PERSON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GRAPH'!$C$22:$C$26</c:f>
              <c:numCache>
                <c:formatCode>General</c:formatCode>
                <c:ptCount val="5"/>
                <c:pt idx="0">
                  <c:v>45</c:v>
                </c:pt>
                <c:pt idx="1">
                  <c:v>78</c:v>
                </c:pt>
                <c:pt idx="2">
                  <c:v>31</c:v>
                </c:pt>
                <c:pt idx="3">
                  <c:v>66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06-4AAA-B935-949DF79500BD}"/>
            </c:ext>
          </c:extLst>
        </c:ser>
        <c:ser>
          <c:idx val="2"/>
          <c:order val="2"/>
          <c:tx>
            <c:strRef>
              <c:f>'BAR AND COLUMN GRAPH'!$D$21</c:f>
              <c:strCache>
                <c:ptCount val="1"/>
                <c:pt idx="0">
                  <c:v>PERSON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GRAPH'!$D$22:$D$26</c:f>
              <c:numCache>
                <c:formatCode>General</c:formatCode>
                <c:ptCount val="5"/>
                <c:pt idx="0">
                  <c:v>78</c:v>
                </c:pt>
                <c:pt idx="1">
                  <c:v>96</c:v>
                </c:pt>
                <c:pt idx="2">
                  <c:v>45</c:v>
                </c:pt>
                <c:pt idx="3">
                  <c:v>12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06-4AAA-B935-949DF7950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5095375"/>
        <c:axId val="2115092495"/>
      </c:barChart>
      <c:catAx>
        <c:axId val="2115095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092495"/>
        <c:crosses val="autoZero"/>
        <c:auto val="1"/>
        <c:lblAlgn val="ctr"/>
        <c:lblOffset val="100"/>
        <c:noMultiLvlLbl val="0"/>
      </c:catAx>
      <c:valAx>
        <c:axId val="211509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09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STACK</a:t>
            </a:r>
            <a:r>
              <a:rPr lang="en-IN" baseline="0"/>
              <a:t> 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 AND COLUMN GRAPH'!$B$21</c:f>
              <c:strCache>
                <c:ptCount val="1"/>
                <c:pt idx="0">
                  <c:v>PERSON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GRAPH'!$B$22:$B$26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5-444F-A82A-EA46D7728B7B}"/>
            </c:ext>
          </c:extLst>
        </c:ser>
        <c:ser>
          <c:idx val="1"/>
          <c:order val="1"/>
          <c:tx>
            <c:strRef>
              <c:f>'BAR AND COLUMN GRAPH'!$C$21</c:f>
              <c:strCache>
                <c:ptCount val="1"/>
                <c:pt idx="0">
                  <c:v>PERSON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GRAPH'!$C$22:$C$26</c:f>
              <c:numCache>
                <c:formatCode>General</c:formatCode>
                <c:ptCount val="5"/>
                <c:pt idx="0">
                  <c:v>45</c:v>
                </c:pt>
                <c:pt idx="1">
                  <c:v>78</c:v>
                </c:pt>
                <c:pt idx="2">
                  <c:v>31</c:v>
                </c:pt>
                <c:pt idx="3">
                  <c:v>66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B5-444F-A82A-EA46D7728B7B}"/>
            </c:ext>
          </c:extLst>
        </c:ser>
        <c:ser>
          <c:idx val="2"/>
          <c:order val="2"/>
          <c:tx>
            <c:strRef>
              <c:f>'BAR AND COLUMN GRAPH'!$D$21</c:f>
              <c:strCache>
                <c:ptCount val="1"/>
                <c:pt idx="0">
                  <c:v>PERSON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GRAPH'!$D$22:$D$26</c:f>
              <c:numCache>
                <c:formatCode>General</c:formatCode>
                <c:ptCount val="5"/>
                <c:pt idx="0">
                  <c:v>78</c:v>
                </c:pt>
                <c:pt idx="1">
                  <c:v>96</c:v>
                </c:pt>
                <c:pt idx="2">
                  <c:v>45</c:v>
                </c:pt>
                <c:pt idx="3">
                  <c:v>12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B5-444F-A82A-EA46D7728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3165583"/>
        <c:axId val="2053177103"/>
      </c:barChart>
      <c:catAx>
        <c:axId val="205316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177103"/>
        <c:crosses val="autoZero"/>
        <c:auto val="1"/>
        <c:lblAlgn val="ctr"/>
        <c:lblOffset val="100"/>
        <c:noMultiLvlLbl val="0"/>
      </c:catAx>
      <c:valAx>
        <c:axId val="205317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16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100%</a:t>
            </a:r>
            <a:r>
              <a:rPr lang="en-IN" baseline="0"/>
              <a:t> STACKED BAR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'BAR AND COLUMN GRAPH'!$B$21</c:f>
              <c:strCache>
                <c:ptCount val="1"/>
                <c:pt idx="0">
                  <c:v>PERSON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GRAPH'!$B$22:$B$26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E-461A-A62C-4A06F83BD7B7}"/>
            </c:ext>
          </c:extLst>
        </c:ser>
        <c:ser>
          <c:idx val="1"/>
          <c:order val="1"/>
          <c:tx>
            <c:strRef>
              <c:f>'BAR AND COLUMN GRAPH'!$C$21</c:f>
              <c:strCache>
                <c:ptCount val="1"/>
                <c:pt idx="0">
                  <c:v>PERSON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GRAPH'!$C$22:$C$26</c:f>
              <c:numCache>
                <c:formatCode>General</c:formatCode>
                <c:ptCount val="5"/>
                <c:pt idx="0">
                  <c:v>45</c:v>
                </c:pt>
                <c:pt idx="1">
                  <c:v>78</c:v>
                </c:pt>
                <c:pt idx="2">
                  <c:v>31</c:v>
                </c:pt>
                <c:pt idx="3">
                  <c:v>66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3E-461A-A62C-4A06F83BD7B7}"/>
            </c:ext>
          </c:extLst>
        </c:ser>
        <c:ser>
          <c:idx val="2"/>
          <c:order val="2"/>
          <c:tx>
            <c:strRef>
              <c:f>'BAR AND COLUMN GRAPH'!$D$21</c:f>
              <c:strCache>
                <c:ptCount val="1"/>
                <c:pt idx="0">
                  <c:v>PERSON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AND COLUMN GRAPH'!$A$22:$A$26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GRAPH'!$D$22:$D$26</c:f>
              <c:numCache>
                <c:formatCode>General</c:formatCode>
                <c:ptCount val="5"/>
                <c:pt idx="0">
                  <c:v>78</c:v>
                </c:pt>
                <c:pt idx="1">
                  <c:v>96</c:v>
                </c:pt>
                <c:pt idx="2">
                  <c:v>45</c:v>
                </c:pt>
                <c:pt idx="3">
                  <c:v>12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3E-461A-A62C-4A06F83BD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6957871"/>
        <c:axId val="1866169327"/>
      </c:barChart>
      <c:catAx>
        <c:axId val="2046957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169327"/>
        <c:crosses val="autoZero"/>
        <c:auto val="1"/>
        <c:lblAlgn val="ctr"/>
        <c:lblOffset val="100"/>
        <c:noMultiLvlLbl val="0"/>
      </c:catAx>
      <c:valAx>
        <c:axId val="1866169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95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LINE</a:t>
            </a:r>
            <a:r>
              <a:rPr lang="en-US" baseline="0"/>
              <a:t> CHART</a:t>
            </a:r>
          </a:p>
          <a:p>
            <a:pPr>
              <a:defRPr/>
            </a:pPr>
            <a:r>
              <a:rPr lang="en-US" baseline="0"/>
              <a:t>WITH 1 COLUM</a:t>
            </a:r>
          </a:p>
        </c:rich>
      </c:tx>
      <c:layout>
        <c:manualLayout>
          <c:xMode val="edge"/>
          <c:yMode val="edge"/>
          <c:x val="0.41609837102847624"/>
          <c:y val="4.72222180907945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'LINE&amp;AREA CHART'!$B$1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'LINE&amp;AREA CHART'!$A$2:$A$11</c:f>
              <c:numCache>
                <c:formatCode>m/d/yyyy</c:formatCode>
                <c:ptCount val="10"/>
                <c:pt idx="0">
                  <c:v>37849</c:v>
                </c:pt>
                <c:pt idx="1">
                  <c:v>38182</c:v>
                </c:pt>
                <c:pt idx="2">
                  <c:v>38913</c:v>
                </c:pt>
                <c:pt idx="3">
                  <c:v>39526</c:v>
                </c:pt>
                <c:pt idx="4">
                  <c:v>39332</c:v>
                </c:pt>
                <c:pt idx="5">
                  <c:v>39909</c:v>
                </c:pt>
                <c:pt idx="6">
                  <c:v>39455</c:v>
                </c:pt>
                <c:pt idx="7">
                  <c:v>42599</c:v>
                </c:pt>
                <c:pt idx="8">
                  <c:v>39343</c:v>
                </c:pt>
                <c:pt idx="9">
                  <c:v>43150</c:v>
                </c:pt>
              </c:numCache>
            </c:numRef>
          </c:cat>
          <c:val>
            <c:numRef>
              <c:f>'LINE&amp;AREA CHART'!$B$2:$B$11</c:f>
              <c:numCache>
                <c:formatCode>General</c:formatCode>
                <c:ptCount val="10"/>
                <c:pt idx="0">
                  <c:v>7895</c:v>
                </c:pt>
                <c:pt idx="1">
                  <c:v>7858</c:v>
                </c:pt>
                <c:pt idx="2">
                  <c:v>5638</c:v>
                </c:pt>
                <c:pt idx="3">
                  <c:v>456</c:v>
                </c:pt>
                <c:pt idx="4">
                  <c:v>1599</c:v>
                </c:pt>
                <c:pt idx="5">
                  <c:v>7466</c:v>
                </c:pt>
                <c:pt idx="6">
                  <c:v>1563</c:v>
                </c:pt>
                <c:pt idx="7">
                  <c:v>7777</c:v>
                </c:pt>
                <c:pt idx="8">
                  <c:v>5565</c:v>
                </c:pt>
                <c:pt idx="9">
                  <c:v>4555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DD-444E-9FFA-75FBC55A7C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79956592"/>
        <c:axId val="579957072"/>
      </c:lineChart>
      <c:dateAx>
        <c:axId val="579956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57072"/>
        <c:crosses val="autoZero"/>
        <c:auto val="1"/>
        <c:lblOffset val="100"/>
        <c:baseTimeUnit val="days"/>
      </c:dateAx>
      <c:valAx>
        <c:axId val="57995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56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</a:t>
            </a:r>
            <a:r>
              <a:rPr lang="en-IN" baseline="0"/>
              <a:t> CHART WITH 2 COLUMN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'LINE&amp;AREA CHART'!$B$1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'LINE&amp;AREA CHART'!$A$2:$A$11</c:f>
              <c:numCache>
                <c:formatCode>m/d/yyyy</c:formatCode>
                <c:ptCount val="10"/>
                <c:pt idx="0">
                  <c:v>37849</c:v>
                </c:pt>
                <c:pt idx="1">
                  <c:v>38182</c:v>
                </c:pt>
                <c:pt idx="2">
                  <c:v>38913</c:v>
                </c:pt>
                <c:pt idx="3">
                  <c:v>39526</c:v>
                </c:pt>
                <c:pt idx="4">
                  <c:v>39332</c:v>
                </c:pt>
                <c:pt idx="5">
                  <c:v>39909</c:v>
                </c:pt>
                <c:pt idx="6">
                  <c:v>39455</c:v>
                </c:pt>
                <c:pt idx="7">
                  <c:v>42599</c:v>
                </c:pt>
                <c:pt idx="8">
                  <c:v>39343</c:v>
                </c:pt>
                <c:pt idx="9">
                  <c:v>43150</c:v>
                </c:pt>
              </c:numCache>
            </c:numRef>
          </c:cat>
          <c:val>
            <c:numRef>
              <c:f>'LINE&amp;AREA CHART'!$B$2:$B$11</c:f>
              <c:numCache>
                <c:formatCode>General</c:formatCode>
                <c:ptCount val="10"/>
                <c:pt idx="0">
                  <c:v>7895</c:v>
                </c:pt>
                <c:pt idx="1">
                  <c:v>7858</c:v>
                </c:pt>
                <c:pt idx="2">
                  <c:v>5638</c:v>
                </c:pt>
                <c:pt idx="3">
                  <c:v>456</c:v>
                </c:pt>
                <c:pt idx="4">
                  <c:v>1599</c:v>
                </c:pt>
                <c:pt idx="5">
                  <c:v>7466</c:v>
                </c:pt>
                <c:pt idx="6">
                  <c:v>1563</c:v>
                </c:pt>
                <c:pt idx="7">
                  <c:v>7777</c:v>
                </c:pt>
                <c:pt idx="8">
                  <c:v>5565</c:v>
                </c:pt>
                <c:pt idx="9">
                  <c:v>4555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52-460D-9254-2E07D03AA53D}"/>
            </c:ext>
          </c:extLst>
        </c:ser>
        <c:ser>
          <c:idx val="1"/>
          <c:order val="1"/>
          <c:tx>
            <c:strRef>
              <c:f>'LINE&amp;AREA CHART'!$C$1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'LINE&amp;AREA CHART'!$A$2:$A$11</c:f>
              <c:numCache>
                <c:formatCode>m/d/yyyy</c:formatCode>
                <c:ptCount val="10"/>
                <c:pt idx="0">
                  <c:v>37849</c:v>
                </c:pt>
                <c:pt idx="1">
                  <c:v>38182</c:v>
                </c:pt>
                <c:pt idx="2">
                  <c:v>38913</c:v>
                </c:pt>
                <c:pt idx="3">
                  <c:v>39526</c:v>
                </c:pt>
                <c:pt idx="4">
                  <c:v>39332</c:v>
                </c:pt>
                <c:pt idx="5">
                  <c:v>39909</c:v>
                </c:pt>
                <c:pt idx="6">
                  <c:v>39455</c:v>
                </c:pt>
                <c:pt idx="7">
                  <c:v>42599</c:v>
                </c:pt>
                <c:pt idx="8">
                  <c:v>39343</c:v>
                </c:pt>
                <c:pt idx="9">
                  <c:v>43150</c:v>
                </c:pt>
              </c:numCache>
            </c:numRef>
          </c:cat>
          <c:val>
            <c:numRef>
              <c:f>'LINE&amp;AREA CHART'!$C$2:$C$11</c:f>
              <c:numCache>
                <c:formatCode>General</c:formatCode>
                <c:ptCount val="10"/>
                <c:pt idx="0">
                  <c:v>-895</c:v>
                </c:pt>
                <c:pt idx="1">
                  <c:v>758</c:v>
                </c:pt>
                <c:pt idx="2">
                  <c:v>45</c:v>
                </c:pt>
                <c:pt idx="3">
                  <c:v>78</c:v>
                </c:pt>
                <c:pt idx="4">
                  <c:v>-96</c:v>
                </c:pt>
                <c:pt idx="5">
                  <c:v>45</c:v>
                </c:pt>
                <c:pt idx="6">
                  <c:v>-25</c:v>
                </c:pt>
                <c:pt idx="7">
                  <c:v>45</c:v>
                </c:pt>
                <c:pt idx="8">
                  <c:v>96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52-460D-9254-2E07D03AA5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01042864"/>
        <c:axId val="401038544"/>
      </c:lineChart>
      <c:dateAx>
        <c:axId val="401042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038544"/>
        <c:crosses val="autoZero"/>
        <c:auto val="1"/>
        <c:lblOffset val="100"/>
        <c:baseTimeUnit val="days"/>
      </c:dateAx>
      <c:valAx>
        <c:axId val="4010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04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AREA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'LINE&amp;AREA CHART'!$B$1</c:f>
              <c:strCache>
                <c:ptCount val="1"/>
                <c:pt idx="0">
                  <c:v>SALES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'LINE&amp;AREA CHART'!$A$2:$A$11</c:f>
              <c:numCache>
                <c:formatCode>m/d/yyyy</c:formatCode>
                <c:ptCount val="10"/>
                <c:pt idx="0">
                  <c:v>37849</c:v>
                </c:pt>
                <c:pt idx="1">
                  <c:v>38182</c:v>
                </c:pt>
                <c:pt idx="2">
                  <c:v>38913</c:v>
                </c:pt>
                <c:pt idx="3">
                  <c:v>39526</c:v>
                </c:pt>
                <c:pt idx="4">
                  <c:v>39332</c:v>
                </c:pt>
                <c:pt idx="5">
                  <c:v>39909</c:v>
                </c:pt>
                <c:pt idx="6">
                  <c:v>39455</c:v>
                </c:pt>
                <c:pt idx="7">
                  <c:v>42599</c:v>
                </c:pt>
                <c:pt idx="8">
                  <c:v>39343</c:v>
                </c:pt>
                <c:pt idx="9">
                  <c:v>43150</c:v>
                </c:pt>
              </c:numCache>
            </c:numRef>
          </c:cat>
          <c:val>
            <c:numRef>
              <c:f>'LINE&amp;AREA CHART'!$B$2:$B$11</c:f>
              <c:numCache>
                <c:formatCode>General</c:formatCode>
                <c:ptCount val="10"/>
                <c:pt idx="0">
                  <c:v>7895</c:v>
                </c:pt>
                <c:pt idx="1">
                  <c:v>7858</c:v>
                </c:pt>
                <c:pt idx="2">
                  <c:v>5638</c:v>
                </c:pt>
                <c:pt idx="3">
                  <c:v>456</c:v>
                </c:pt>
                <c:pt idx="4">
                  <c:v>1599</c:v>
                </c:pt>
                <c:pt idx="5">
                  <c:v>7466</c:v>
                </c:pt>
                <c:pt idx="6">
                  <c:v>1563</c:v>
                </c:pt>
                <c:pt idx="7">
                  <c:v>7777</c:v>
                </c:pt>
                <c:pt idx="8">
                  <c:v>5565</c:v>
                </c:pt>
                <c:pt idx="9">
                  <c:v>4555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C-4F0B-874D-892C4CA2E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549134960"/>
        <c:axId val="549149840"/>
      </c:areaChart>
      <c:dateAx>
        <c:axId val="549134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149840"/>
        <c:crosses val="autoZero"/>
        <c:auto val="1"/>
        <c:lblOffset val="100"/>
        <c:baseTimeUnit val="days"/>
      </c:dateAx>
      <c:valAx>
        <c:axId val="549149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13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'COMBO CHART'!$B$1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5A9-45A3-926B-9C3A4733059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5A9-45A3-926B-9C3A4733059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5A9-45A3-926B-9C3A4733059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5A9-45A3-926B-9C3A473305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'COMBO CHART'!$A$2:$A$5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 </c:v>
                </c:pt>
                <c:pt idx="3">
                  <c:v>NORTH</c:v>
                </c:pt>
              </c:strCache>
            </c:strRef>
          </c:cat>
          <c:val>
            <c:numRef>
              <c:f>'COMBO CHART'!$B$2:$B$5</c:f>
              <c:numCache>
                <c:formatCode>General</c:formatCode>
                <c:ptCount val="4"/>
                <c:pt idx="0">
                  <c:v>7855</c:v>
                </c:pt>
                <c:pt idx="1">
                  <c:v>7896</c:v>
                </c:pt>
                <c:pt idx="2">
                  <c:v>7456</c:v>
                </c:pt>
                <c:pt idx="3">
                  <c:v>7892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D-4BBD-A536-E7D2DFE061D2}"/>
            </c:ext>
          </c:extLst>
        </c:ser>
        <c:ser>
          <c:idx val="1"/>
          <c:order val="1"/>
          <c:tx>
            <c:strRef>
              <c:f>'COMBO CHART'!$C$1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5A9-45A3-926B-9C3A4733059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5A9-45A3-926B-9C3A4733059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5A9-45A3-926B-9C3A4733059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5A9-45A3-926B-9C3A473305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'COMBO CHART'!$A$2:$A$5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 </c:v>
                </c:pt>
                <c:pt idx="3">
                  <c:v>NORTH</c:v>
                </c:pt>
              </c:strCache>
            </c:strRef>
          </c:cat>
          <c:val>
            <c:numRef>
              <c:f>'COMBO CHART'!$C$2:$C$5</c:f>
              <c:numCache>
                <c:formatCode>General</c:formatCode>
                <c:ptCount val="4"/>
                <c:pt idx="0">
                  <c:v>456</c:v>
                </c:pt>
                <c:pt idx="1">
                  <c:v>511</c:v>
                </c:pt>
                <c:pt idx="2">
                  <c:v>661</c:v>
                </c:pt>
                <c:pt idx="3">
                  <c:v>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3D-4BBD-A536-E7D2DFE061D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Doughnut chart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406312335958005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'COMBO CHART'!$B$1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86-4838-94E5-A32026A37BB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86-4838-94E5-A32026A37BB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86-4838-94E5-A32026A37BB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86-4838-94E5-A32026A37B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'COMBO CHART'!$A$2:$A$5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 </c:v>
                </c:pt>
                <c:pt idx="3">
                  <c:v>NORTH</c:v>
                </c:pt>
              </c:strCache>
            </c:strRef>
          </c:cat>
          <c:val>
            <c:numRef>
              <c:f>'COMBO CHART'!$B$2:$B$5</c:f>
              <c:numCache>
                <c:formatCode>General</c:formatCode>
                <c:ptCount val="4"/>
                <c:pt idx="0">
                  <c:v>7855</c:v>
                </c:pt>
                <c:pt idx="1">
                  <c:v>7896</c:v>
                </c:pt>
                <c:pt idx="2">
                  <c:v>7456</c:v>
                </c:pt>
                <c:pt idx="3">
                  <c:v>7892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7-4ED2-AA71-66B5A0150731}"/>
            </c:ext>
          </c:extLst>
        </c:ser>
        <c:ser>
          <c:idx val="1"/>
          <c:order val="1"/>
          <c:tx>
            <c:strRef>
              <c:f>'COMBO CHART'!$C$1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86-4838-94E5-A32026A37BB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86-4838-94E5-A32026A37BB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E86-4838-94E5-A32026A37BB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E86-4838-94E5-A32026A37B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'COMBO CHART'!$A$2:$A$5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 </c:v>
                </c:pt>
                <c:pt idx="3">
                  <c:v>NORTH</c:v>
                </c:pt>
              </c:strCache>
            </c:strRef>
          </c:cat>
          <c:val>
            <c:numRef>
              <c:f>'COMBO CHART'!$C$2:$C$5</c:f>
              <c:numCache>
                <c:formatCode>General</c:formatCode>
                <c:ptCount val="4"/>
                <c:pt idx="0">
                  <c:v>456</c:v>
                </c:pt>
                <c:pt idx="1">
                  <c:v>511</c:v>
                </c:pt>
                <c:pt idx="2">
                  <c:v>661</c:v>
                </c:pt>
                <c:pt idx="3">
                  <c:v>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97-4ED2-AA71-66B5A01507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'COMBO CHART'!$A$2:$A$5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 </c:v>
                </c:pt>
                <c:pt idx="3">
                  <c:v>NORTH</c:v>
                </c:pt>
              </c:strCache>
            </c:strRef>
          </c:cat>
          <c:val>
            <c:numRef>
              <c:f>'COMBO CHART'!$B$2:$B$5</c:f>
              <c:numCache>
                <c:formatCode>General</c:formatCode>
                <c:ptCount val="4"/>
                <c:pt idx="0">
                  <c:v>7855</c:v>
                </c:pt>
                <c:pt idx="1">
                  <c:v>7896</c:v>
                </c:pt>
                <c:pt idx="2">
                  <c:v>7456</c:v>
                </c:pt>
                <c:pt idx="3">
                  <c:v>7892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4-42FC-AF0D-E8C9D5E0D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4666976"/>
        <c:axId val="574667456"/>
      </c:barChart>
      <c:lineChart>
        <c:grouping val="standard"/>
        <c:varyColors val="0"/>
        <c:ser>
          <c:idx val="1"/>
          <c:order val="1"/>
          <c:tx>
            <c:strRef>
              <c:f>'COMBO CHART'!$C$1</c:f>
              <c:strCache>
                <c:ptCount val="1"/>
                <c:pt idx="0">
                  <c:v>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'COMBO CHART'!$A$2:$A$5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 </c:v>
                </c:pt>
                <c:pt idx="3">
                  <c:v>NORTH</c:v>
                </c:pt>
              </c:strCache>
            </c:strRef>
          </c:cat>
          <c:val>
            <c:numRef>
              <c:f>'COMBO CHART'!$C$2:$C$5</c:f>
              <c:numCache>
                <c:formatCode>General</c:formatCode>
                <c:ptCount val="4"/>
                <c:pt idx="0">
                  <c:v>456</c:v>
                </c:pt>
                <c:pt idx="1">
                  <c:v>511</c:v>
                </c:pt>
                <c:pt idx="2">
                  <c:v>661</c:v>
                </c:pt>
                <c:pt idx="3">
                  <c:v>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C4-42FC-AF0D-E8C9D5E0D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666976"/>
        <c:axId val="574667456"/>
      </c:lineChart>
      <c:catAx>
        <c:axId val="57466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667456"/>
        <c:crosses val="autoZero"/>
        <c:auto val="1"/>
        <c:lblAlgn val="ctr"/>
        <c:lblOffset val="100"/>
        <c:noMultiLvlLbl val="0"/>
      </c:catAx>
      <c:valAx>
        <c:axId val="57466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66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COMBO</a:t>
            </a:r>
            <a:r>
              <a:rPr lang="en-IN" baseline="0"/>
              <a:t> CHART - 2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 </c:v>
                </c:pt>
                <c:pt idx="3">
                  <c:v>NORTH</c:v>
                </c:pt>
              </c:strCache>
            </c:strRef>
          </c:cat>
          <c:val>
            <c:numRef>
              <c:f>'COMBO CHART'!$B$2:$B$5</c:f>
              <c:numCache>
                <c:formatCode>General</c:formatCode>
                <c:ptCount val="4"/>
                <c:pt idx="0">
                  <c:v>7855</c:v>
                </c:pt>
                <c:pt idx="1">
                  <c:v>7896</c:v>
                </c:pt>
                <c:pt idx="2">
                  <c:v>7456</c:v>
                </c:pt>
                <c:pt idx="3">
                  <c:v>7892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E-4B5A-A8DF-8668B5224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950352"/>
        <c:axId val="579956112"/>
      </c:barChart>
      <c:lineChart>
        <c:grouping val="standard"/>
        <c:varyColors val="0"/>
        <c:ser>
          <c:idx val="1"/>
          <c:order val="1"/>
          <c:tx>
            <c:strRef>
              <c:f>'COMBO CHART'!$C$1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 </c:v>
                </c:pt>
                <c:pt idx="3">
                  <c:v>NORTH</c:v>
                </c:pt>
              </c:strCache>
            </c:strRef>
          </c:cat>
          <c:val>
            <c:numRef>
              <c:f>'COMBO CHART'!$C$2:$C$5</c:f>
              <c:numCache>
                <c:formatCode>General</c:formatCode>
                <c:ptCount val="4"/>
                <c:pt idx="0">
                  <c:v>456</c:v>
                </c:pt>
                <c:pt idx="1">
                  <c:v>511</c:v>
                </c:pt>
                <c:pt idx="2">
                  <c:v>661</c:v>
                </c:pt>
                <c:pt idx="3">
                  <c:v>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AE-4B5A-A8DF-8668B5224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951312"/>
        <c:axId val="579950832"/>
      </c:lineChart>
      <c:catAx>
        <c:axId val="57995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56112"/>
        <c:crosses val="autoZero"/>
        <c:auto val="1"/>
        <c:lblAlgn val="ctr"/>
        <c:lblOffset val="100"/>
        <c:noMultiLvlLbl val="0"/>
      </c:catAx>
      <c:valAx>
        <c:axId val="57995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50352"/>
        <c:crosses val="autoZero"/>
        <c:crossBetween val="between"/>
      </c:valAx>
      <c:valAx>
        <c:axId val="57995083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51312"/>
        <c:crosses val="max"/>
        <c:crossBetween val="between"/>
      </c:valAx>
      <c:catAx>
        <c:axId val="579951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9950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Combo</a:t>
            </a:r>
            <a:r>
              <a:rPr lang="en-IN" baseline="0"/>
              <a:t> chart - 3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'COMBO CHART'!$B$1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'COMBO CHART'!$A$2:$A$5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 </c:v>
                </c:pt>
                <c:pt idx="3">
                  <c:v>NORTH</c:v>
                </c:pt>
              </c:strCache>
            </c:strRef>
          </c:cat>
          <c:val>
            <c:numRef>
              <c:f>'COMBO CHART'!$B$2:$B$5</c:f>
              <c:numCache>
                <c:formatCode>General</c:formatCode>
                <c:ptCount val="4"/>
                <c:pt idx="0">
                  <c:v>7855</c:v>
                </c:pt>
                <c:pt idx="1">
                  <c:v>7896</c:v>
                </c:pt>
                <c:pt idx="2">
                  <c:v>7456</c:v>
                </c:pt>
                <c:pt idx="3">
                  <c:v>7892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4-43D2-A319-831DBAE11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169872"/>
        <c:axId val="554169392"/>
      </c:areaChart>
      <c:barChart>
        <c:barDir val="col"/>
        <c:grouping val="clustered"/>
        <c:varyColors val="0"/>
        <c:ser>
          <c:idx val="1"/>
          <c:order val="1"/>
          <c:tx>
            <c:strRef>
              <c:f>'COMBO CHART'!$C$1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'COMBO CHART'!$A$2:$A$5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 </c:v>
                </c:pt>
                <c:pt idx="3">
                  <c:v>NORTH</c:v>
                </c:pt>
              </c:strCache>
            </c:strRef>
          </c:cat>
          <c:val>
            <c:numRef>
              <c:f>'COMBO CHART'!$C$2:$C$5</c:f>
              <c:numCache>
                <c:formatCode>General</c:formatCode>
                <c:ptCount val="4"/>
                <c:pt idx="0">
                  <c:v>456</c:v>
                </c:pt>
                <c:pt idx="1">
                  <c:v>511</c:v>
                </c:pt>
                <c:pt idx="2">
                  <c:v>661</c:v>
                </c:pt>
                <c:pt idx="3">
                  <c:v>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14-43D2-A319-831DBAE11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4169872"/>
        <c:axId val="554169392"/>
      </c:barChart>
      <c:catAx>
        <c:axId val="55416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169392"/>
        <c:crosses val="autoZero"/>
        <c:auto val="1"/>
        <c:lblAlgn val="ctr"/>
        <c:lblOffset val="100"/>
        <c:noMultiLvlLbl val="0"/>
      </c:catAx>
      <c:valAx>
        <c:axId val="55416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16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'SORT DEC AND ASCE'!$P$13</c:f>
          <c:strCache>
            <c:ptCount val="1"/>
            <c:pt idx="0">
              <c:v>BOTTOM 10 STUDENTS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DEC AND ASCE'!$L$12:$L$21</c:f>
              <c:strCache>
                <c:ptCount val="10"/>
                <c:pt idx="0">
                  <c:v>suba</c:v>
                </c:pt>
                <c:pt idx="1">
                  <c:v>jimin</c:v>
                </c:pt>
                <c:pt idx="2">
                  <c:v>kumar</c:v>
                </c:pt>
                <c:pt idx="3">
                  <c:v>mona</c:v>
                </c:pt>
                <c:pt idx="4">
                  <c:v>priya</c:v>
                </c:pt>
                <c:pt idx="5">
                  <c:v>anytony</c:v>
                </c:pt>
                <c:pt idx="6">
                  <c:v>gayathri</c:v>
                </c:pt>
                <c:pt idx="7">
                  <c:v>sujith</c:v>
                </c:pt>
                <c:pt idx="8">
                  <c:v>harris</c:v>
                </c:pt>
                <c:pt idx="9">
                  <c:v>sakthi</c:v>
                </c:pt>
              </c:strCache>
            </c:strRef>
          </c:cat>
          <c:val>
            <c:numRef>
              <c:f>'SORT DEC AND ASCE'!$M$12:$M$21</c:f>
              <c:numCache>
                <c:formatCode>General</c:formatCode>
                <c:ptCount val="10"/>
                <c:pt idx="0">
                  <c:v>98</c:v>
                </c:pt>
                <c:pt idx="1">
                  <c:v>96</c:v>
                </c:pt>
                <c:pt idx="2">
                  <c:v>95</c:v>
                </c:pt>
                <c:pt idx="3">
                  <c:v>92</c:v>
                </c:pt>
                <c:pt idx="4">
                  <c:v>86</c:v>
                </c:pt>
                <c:pt idx="5">
                  <c:v>84</c:v>
                </c:pt>
                <c:pt idx="6">
                  <c:v>83</c:v>
                </c:pt>
                <c:pt idx="7">
                  <c:v>81</c:v>
                </c:pt>
                <c:pt idx="8">
                  <c:v>78</c:v>
                </c:pt>
                <c:pt idx="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5-44C0-A108-D97F55865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5158543"/>
        <c:axId val="1515156143"/>
      </c:barChart>
      <c:catAx>
        <c:axId val="151515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56143"/>
        <c:crosses val="autoZero"/>
        <c:auto val="1"/>
        <c:lblAlgn val="ctr"/>
        <c:lblOffset val="100"/>
        <c:noMultiLvlLbl val="0"/>
      </c:catAx>
      <c:valAx>
        <c:axId val="151515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58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SCATTER 1(Y)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'BUBBLE AND SCATTER CHART'!$B$1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'BUBBLE AND SCATTER CHART'!$A$2:$A$6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numCache>
            </c:numRef>
          </c:xVal>
          <c:yVal>
            <c:numRef>
              <c:f>'BUBBLE AND SCATTER CHART'!$B$2:$B$6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7-4060-A849-1AEF2DE0E8D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28879743"/>
        <c:axId val="1528880703"/>
      </c:scatterChart>
      <c:valAx>
        <c:axId val="152887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80703"/>
        <c:crosses val="autoZero"/>
        <c:crossBetween val="midCat"/>
      </c:valAx>
      <c:valAx>
        <c:axId val="152888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79743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</a:t>
            </a:r>
            <a:r>
              <a:rPr lang="en-IN" baseline="0"/>
              <a:t> 2(Y1,Y2)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'BUBBLE AND SCATTER CHART'!$B$1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'BUBBLE AND SCATTER CHART'!$A$2:$A$6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numCache>
            </c:numRef>
          </c:xVal>
          <c:yVal>
            <c:numRef>
              <c:f>'BUBBLE AND SCATTER CHART'!$B$2:$B$6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D1-423A-8E49-3AA9B0DEB907}"/>
            </c:ext>
          </c:extLst>
        </c:ser>
        <c:ser>
          <c:idx val="1"/>
          <c:order val="1"/>
          <c:tx>
            <c:strRef>
              <c:f>'BUBBLE AND SCATTER CHART'!$C$1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'BUBBLE AND SCATTER CHART'!$A$2:$A$6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numCache>
            </c:numRef>
          </c:xVal>
          <c:yVal>
            <c:numRef>
              <c:f>'BUBBLE AND SCATTER CHART'!$C$2:$C$6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7</c:v>
                </c:pt>
                <c:pt idx="3">
                  <c:v>9</c:v>
                </c:pt>
                <c:pt idx="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D1-423A-8E49-3AA9B0DEB9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22158863"/>
        <c:axId val="1294357375"/>
      </c:scatterChart>
      <c:valAx>
        <c:axId val="142215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357375"/>
        <c:crosses val="autoZero"/>
        <c:crossBetween val="midCat"/>
      </c:valAx>
      <c:valAx>
        <c:axId val="12943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158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 w="19050">
              <a:solidFill>
                <a:schemeClr val="lt1">
                  <a:alpha val="7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'BUBBLE AND SCATTER CHART'!$A$3:$A$6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</c:numCache>
            </c:numRef>
          </c:xVal>
          <c:yVal>
            <c:numRef>
              <c:f>'BUBBLE AND SCATTER CHART'!$B$3:$B$6</c:f>
              <c:numCache>
                <c:formatCode>General</c:formatCode>
                <c:ptCount val="4"/>
                <c:pt idx="0">
                  <c:v>8</c:v>
                </c:pt>
                <c:pt idx="1">
                  <c:v>4</c:v>
                </c:pt>
                <c:pt idx="2">
                  <c:v>6</c:v>
                </c:pt>
                <c:pt idx="3">
                  <c:v>1</c:v>
                </c:pt>
              </c:numCache>
            </c:numRef>
          </c:yVal>
          <c:bubbleSize>
            <c:numRef>
              <c:f>'BUBBLE AND SCATTER CHART'!$C$3:$C$6</c:f>
              <c:numCache>
                <c:formatCode>General</c:formatCode>
                <c:ptCount val="4"/>
                <c:pt idx="0">
                  <c:v>9</c:v>
                </c:pt>
                <c:pt idx="1">
                  <c:v>7</c:v>
                </c:pt>
                <c:pt idx="2">
                  <c:v>9</c:v>
                </c:pt>
                <c:pt idx="3">
                  <c:v>3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D28A-470A-B64F-CF8301F9D0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535185839"/>
        <c:axId val="1535190639"/>
      </c:bubbleChart>
      <c:valAx>
        <c:axId val="153518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90639"/>
        <c:crosses val="autoZero"/>
        <c:crossBetween val="midCat"/>
      </c:valAx>
      <c:valAx>
        <c:axId val="153519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lt1">
                <a:alpha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8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CHART'!$A$1</c:f>
              <c:strCache>
                <c:ptCount val="1"/>
                <c:pt idx="0">
                  <c:v>X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'RADAR CHART'!$A$2:$A$6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E-4AA7-B7C3-7F7DD869F385}"/>
            </c:ext>
          </c:extLst>
        </c:ser>
        <c:ser>
          <c:idx val="1"/>
          <c:order val="1"/>
          <c:tx>
            <c:strRef>
              <c:f>'RADAR CHART'!$B$1</c:f>
              <c:strCache>
                <c:ptCount val="1"/>
                <c:pt idx="0">
                  <c:v>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'RADAR CHART'!$B$2:$B$6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2E-4AA7-B7C3-7F7DD869F385}"/>
            </c:ext>
          </c:extLst>
        </c:ser>
        <c:ser>
          <c:idx val="2"/>
          <c:order val="2"/>
          <c:tx>
            <c:strRef>
              <c:f>'RADAR CHART'!$C$1</c:f>
              <c:strCache>
                <c:ptCount val="1"/>
                <c:pt idx="0">
                  <c:v>Y1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'RADAR CHART'!$C$2:$C$6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2E-4AA7-B7C3-7F7DD869F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817887"/>
        <c:axId val="1534813087"/>
      </c:radarChart>
      <c:catAx>
        <c:axId val="153481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813087"/>
        <c:crosses val="autoZero"/>
        <c:auto val="1"/>
        <c:lblAlgn val="ctr"/>
        <c:lblOffset val="100"/>
        <c:noMultiLvlLbl val="0"/>
      </c:catAx>
      <c:valAx>
        <c:axId val="153481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81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radar</a:t>
            </a:r>
            <a:r>
              <a:rPr lang="en-IN" baseline="0"/>
              <a:t> chart 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CHART'!$A$1:$C$1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Y1</c:v>
                </c:pt>
              </c:strCache>
            </c:strRef>
          </c:cat>
          <c:val>
            <c:numRef>
              <c:f>'RADAR CHART'!$A$2:$C$2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C-417F-A678-C7463DEF66A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CHART'!$A$1:$C$1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Y1</c:v>
                </c:pt>
              </c:strCache>
            </c:strRef>
          </c:cat>
          <c:val>
            <c:numRef>
              <c:f>'RADAR CHART'!$A$3:$C$3</c:f>
              <c:numCache>
                <c:formatCode>General</c:formatCode>
                <c:ptCount val="3"/>
                <c:pt idx="0">
                  <c:v>6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0C-417F-A678-C7463DEF6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439727"/>
        <c:axId val="1686437807"/>
      </c:radarChart>
      <c:catAx>
        <c:axId val="168643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437807"/>
        <c:crosses val="autoZero"/>
        <c:auto val="1"/>
        <c:lblAlgn val="ctr"/>
        <c:lblOffset val="100"/>
        <c:noMultiLvlLbl val="0"/>
      </c:catAx>
      <c:valAx>
        <c:axId val="168643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43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TREE 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TREE MAP</a:t>
          </a:r>
        </a:p>
      </cx:txPr>
    </cx:title>
    <cx:plotArea>
      <cx:plotAreaRegion>
        <cx:series layoutId="treemap" uniqueId="{88D74FF9-6612-4604-BEB3-D794DC7777CB}">
          <cx:tx>
            <cx:txData>
              <cx:f>_xlchart.v1.1</cx:f>
              <cx:v>SALARY</cx:v>
            </cx:txData>
          </cx:tx>
          <cx:dataLabels pos="inEnd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SUNBURST CHART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sunburst" uniqueId="{7170A269-12D5-440B-BFA9-5845DF3B7884}">
          <cx:tx>
            <cx:txData>
              <cx:f>_xlchart.v1.4</cx:f>
              <cx:v>SALES</cx:v>
            </cx:txData>
          </cx:tx>
          <cx:dataLabels pos="ctr">
            <cx:visibility seriesName="1" categoryName="1" value="1"/>
            <cx:separator>, </cx:separator>
          </cx:dataLabels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title pos="t" align="ctr" overlay="0"/>
    <cx:plotArea>
      <cx:plotAreaRegion>
        <cx:series layoutId="funnel" uniqueId="{5A8590C7-2245-40DD-8BD2-DCCEE6076D79}">
          <cx:tx>
            <cx:txData>
              <cx:f>_xlchart.v2.7</cx:f>
              <cx:v>MARKS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  <cx:data id="1">
      <cx:numDim type="val">
        <cx:f>_xlchart.v1.12</cx:f>
      </cx:numDim>
    </cx:data>
  </cx:chartData>
  <cx:chart>
    <cx:title pos="t" align="ctr" overlay="0"/>
    <cx:plotArea>
      <cx:plotAreaRegion>
        <cx:series layoutId="waterfall" uniqueId="{7292289A-BC0D-4812-821B-B855D042F64D}" formatIdx="0">
          <cx:tx>
            <cx:txData>
              <cx:f>_xlchart.v1.9</cx:f>
              <cx:v>MONTH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3C8B8DB8-D548-4E89-8419-CBE7A4EF3184}" formatIdx="1">
          <cx:tx>
            <cx:txData>
              <cx:f>_xlchart.v1.11</cx:f>
              <cx:v>PROFIT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_xlchart.v5.16</cx:f>
        <cx:nf>_xlchart.v5.15</cx:nf>
      </cx:strDim>
      <cx:strDim type="cat">
        <cx:f>_xlchart.v5.14</cx:f>
        <cx:nf>_xlchart.v5.13</cx:nf>
      </cx:strDim>
    </cx:data>
  </cx:chartData>
  <cx:chart>
    <cx:title pos="t" align="ctr" overlay="0"/>
    <cx:plotArea>
      <cx:plotAreaRegion>
        <cx:series layoutId="regionMap" uniqueId="{AAF649EE-1652-44EA-9471-3F86DD93BE77}">
          <cx:tx>
            <cx:txData>
              <cx:f>_xlchart.v5.15</cx:f>
              <cx:v>Population(2011)[27][28]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1Hxpc9w4su1fcfjzoxoEQICYmJ6IBmuTqrRYktcvjLIkkwQIcAG4/vqXsmWPVSO3PfF8X1xV9BIq
FIpJHGTmyYNk/fNm/MdNebdvX4ymtO4fN+OfL3Pv63/88Ye7ye/M3h2Z4qatXPXJH91U5o/q06fi
5u6P23Y/FDb7A6OQ/nGT71t/N7781z/h27K7alfd7H1R2VfdXTtd3rmu9O5vxp4cerG/NYVdFM63
xY0P/3x5fVfubba3+5cv7qwv/HQ91Xd/vnz0sZcv/jj8sv+48IsSbPPdLcwN+VGMEItEGL98UVY2
e3ifiyOERExFRMXnFwx/uebZ3sC8XzLlsyH729v2zjm4mc//fzT1keUwsn754qbqrL9fsgxW78+X
x/a2gNstXJV8GUiqe7OPzz7f5x+PF/tf/zx4A+784J3v8Dhcpp8N/Qcc6+p3AhEdEUYwETj+suDi
MR70CEWYCYbxl+HoMR4/seVpJD5POsBg/dezwuAve5u3+xcX7f72zuVf1+Q3+EV0xKMoCmOBnoRD
HAkW0TASD+5Bvl76i3v8ullPI3M4/wCkvy6eFUibfTv91qiFxVEo4lBQ8ILvgxY7IhRhiijEtPsX
e4zKL9jxNBzfJh7gsLl8Vjic3mX5vtxPvzFs4egoIuAIhJOn/ESER5hzFnPEvg1/n0Z+yaKnMflu
6gEqp7tnhYosgDt83aj/75ELEGFcxFEYkS9OED7ykRiGkWCMCvz1ml9C1k/NeBqGh2kHEMhn5hh7
gGDvct/+RtcIxRGNMIpJJJ4CgrOjEMWC4IcMIg4y+umv2fQ0Ko8mH2BzunlW7vFX29k90Ovy9yd5
zI8iQUgsovALQuAS36UTcY8QJxz85cvrIJ38V5Y9jdMTX3GA1l/Py5P+cm5vvgaW3xDMIKNHFBAC
Ivbl9RghfBRjDv4lHrLPIQ37mTU/QOXLtEMkrp6V3yR5vve+cNm+/Y28GENCZ+y+LsRPBbUYHyEa
AiToILv8qjVPA/J49gEuyfWzwuV0b4u6a3+jj9AjTiiD6vFrnHrsI+QoBj7Ao5B/c6FHFOzn9jwN
yrcbOcDjFGrz51TFdwpyv/+NeOAjJjALOX3SRXgISQf4cAjF4+fXQVZZ/9yep/H4NvEAj/XJs8Jj
U5j/oXRPwiOBSQTh62lg+BEmDIeE/aB6/C8Mexqh/7y1A6g2z6uuPwHWrPO9vf2NzkOOWMRCLOKH
jA6643eUDKqXiEG1idkDH6BfL/2liPkli54G57upB6icPC/CvN23du/3+neWMpBiQkQx/UFIA6IM
NSdUnE/TsF+y6GlUvpt6gMr2r2cV1q4rvy+/btYfEeP/QbF6e9eC9PMzAx7r6X97cICOKAVawTm4
4HceCmUtRTEGJ2Xfaqrv6cbP7fjBRniw/3AXPC+t53R/m0//A3I1JiDDxSFI1g+5K3wMSnyE41gw
QsIvnOOgTvp1s54G53D+AUinzyutXRVaF7+ziAWZgSNEEH6SoMfxEeUcw0nCAy05IIQ/N+dpUL7O
OwDjavus4uZpMVftb5UUyBFBUA0h8phaCNASCENYoKePdH7BkKdx+DbxAIjTD88KiLN9Bgnkt3I9
dgRlUAxs/CEqPT7yFPSIMohp/CGkIf41e33her9i0NOI/HvmASRnzyubnN8WLv+NOR2joygkiFKQ
rL+8HmWRGADBMchx6EHQPlCsf27O03B8nXcAxvnzUj4vOqv2H79u0R8xvF8nWAQdxRSDSIBh339P
sKIj4FYxYPCg5xzk8p/b8TQKX+cdoHAhn1WUutyrvfNQk/4+IDA7imJKaPxVF8CP8QB9LYIIxr5W
rAde8UsWPQ3Jd1MPULl8XprO9d4U5Yuz/W33+2AJwyMUMji4iR/ncQ50CnHgWtFBvvg1I55G4vu5
B1BcPy+587q9V59/Z9IgR5xGCJS1g/QdwvuYg5r2QGsP/OIXDPkBFl/v4BCI/9354mlJ/Etp/CVb
PPrEf9nHhzEclMFRcnjAaqGPDw4GOIIQ9e285vty/KG/7sdmPI3Bw7RHFv/vbtZ77T10eP72PjFI
Dp815fDhBBk9LrxjYFSMATJfk8NBsv5lq56G4WD6gUO8fl5l9+eb2f9mPRlYFKjFCM4sHxqQDpKF
OIJEQUBufiC8B0HqF236G3S+3tAhNs+rCn975/wLeQfNxz/VMH+d4YJoBdVEGCH+mOHG/Ehw6HWl
X1vKDkD5RWOeBuXR5ANQ3v5/5ro/lnu/Ka8LUPKXn3u9v2tP/vvRz/cNLegHU/+uZfxL+D++hX5w
FtIYOigBkW995Pdf9Kj5+/Fx/JOT74CF//nyvmJEiKIojgmHVloG1HmArQQj6AhHUGUyDv0CKIzu
R2zV+vzPl5hC2w0OQSuDGificJD68oWruvsh6FbnFFw1BnkZpnJOvjXcX1TllFX229I8/P3Cduai
Kqx3f76EE4qXL+ovn7u/Vw7yQgQcJYSea3zfQYIgONQ3+0vo6oePh/8HparX8O+44rTK8WoMXZsM
TmGSTMLOWJJ6dmrZ6tDGss/SSUnO625e0BGPgfTM02SAlu2dHUItq66qrexS0+wizssrXQzBdRSm
+XE2Vv0FMzbftoajbNVG3KzdqMWSk1pLZ11+25N4zhMxlXG+8DnJN+nIyjdzZkuTpKWNt1loab/I
4WQsCYd0esXGymDZzldZR6ZkDjalMV0scW+iZVe07TaPhU1GIAZ4NVVdp5N0zLxPeDkFw9rioTkr
qsmBxeWMrtKoKN+RccyuKlzZBehk6mMTT9npVDamlFPQzx+zSkQfxpxy6T1QzAEPbSJCfRwpLArZ
kpIllQo1TlSZ2ovRufK8nrVa2gBWx+JxmyFfL0OT46QgLV6FqMwS2hX1Yq5Y+DEu4tFIW3Uplj4u
9K7Jmf44MDGPUmeluM2qIHuNmSJ5orhIqSx4gMNFhnu78BEaloJoKhEpRqlUhk8UAJB0uqKJZ6rf
jlX7Zipsmi44Hgu9mJ0dk1JZVCXz2NhlTmdNFgQxftqxQe0LS80dwikS67af6kA2tnezRGJyu1mE
TtaRC4g0ZsawDr3PxoTZzMssIFUpMRuyUx8P4mQUtn6fu9T5xHTlhCQbi6qRBEJg0gZV/s6UhmYS
5ON8QxxcJ5yI7Re6HWKR6Mw3Vk5RazNZpa3YVrlIi02Zo+62bu2Qrwiuxk1XBGLNOz5FCc7YtMR1
VxnJSazrZQnb+rWnBF/oQtFdyjp3ndu82meI5Eoybxux9RlsxYTHY33TmGh670RehYuo4IWWQrX1
h7DztpZzyCK9Vsq2VyF0BF9QGgbpYq4HsVO6chcmb5pGxjYPcSLGuH0VMzu+cTQwrUwNCu66WkXR
Ig7D9h3l2nxkDavW8TjBeIXFcO2sJUZm3sSjbL3Kp82AeR7IPsjt1qtasqHEwzrwYyOzfBjeCDbU
l5Gv5mMS2nu/1c2Gx3nQJ7RmnZFQuaNFk0Vjk6QI648ZONf91LQMJW3Lstmgwql2SXsWH/dRwS7K
IAqMxLQc0dusmdA7BltuWqKmmtciNQBg3FVgNZniSMakQZl0qB1CyZs428wudzJL2V1a4vn9kI3L
MK0SYgZyU/UiLhKkVfsx4vAsUkJDOr4fe2UXTZePSRa44XocunqXxyTd6IjiE2vKwcoo8zDMi3LZ
TKN7OztO80XmPF3ieKikGn11wtHMvCQTqxM71XalJ8KcHON0M035Guyel1VT1kk/jFjWJG/XXdNa
OWOevhFYmcR6wsWCacGSIOwclpNv6yYZMtMs8tlSJelcoDAxw2iqJU41NQnOm+JOdXX+euZ5vkU6
1Nmy8QSXMqB4eBeAo4SrBpO2k7ppuveGqLwFF/FBKHUxg2vPJmou6qkw08p2qlLSzPW4CIPaSw+t
f4XsOtadNY2eJjnZqjr2xrl3DvE0KYy91aZX3cK2EKf7smTbXOg8XMZdEGE5i+Y18lidzjGerRT5
2L+ladbuSJrn78Oeq1LayMzLDgeRgw2bxkFiuEFF0jQzv3E2LjeZ8TeoKWidxLavTiCVRDrJVNnc
0iDjgwzarplh8YbhtOi6zCciyqZo4UKlXBK4Ls4TOqgqlnCfjG86UeaxdCoLyUIj4e4m6iqfDCOX
1VxDlqG92bSmbU5SVthzAyuFZFFHc7EwQ6n9Gjvi8k1lPF7Rgnm0MbMVLlEZyQoZlixqpO5I2cHd
I+oWsDWbT+MwxSfIV3gROuc6Gc8jBCdR2isbgLu5uSjGRTk0zfuCO0RlLeL4la9b/GbiVQpO12i8
Q3mFX4u2b97xSsUnsSozInPuAybjOiPntY/tOcOCv24mrmG5FYPtw11fktVUh9osXNGfTtyzOaEj
zd6IsENmMVY8/IQaFMZbsDAnC9ZHJZZ5PMXv/RijChIUdqfgt5HZpBRHEBiGiF1DbGp3vRHqbEgr
vLo/HV2MKc6jZAzaeZZlUAR5Us5luAqaqtipKeVvJ4UGWVajOddKoKTETS3FUBUXOKY2yecwvFAQ
kZKwyps3XYb061qQehFO3fsaWoWvfd3TC11OeNFpRTZNZNB1g6rgDqtqTCXOcLeoSUWOFVI8SPKC
ptcGZfyCV8V1VaHgIq2mdKEnyxvZ50pfBAqHSUbrqkuGyUZeQr6b82WBrJ2kh2XLk4kramRaxuP9
TihJvS9im67GqsuiVc91l7i5GjZ5KPixz4A69OUw35R5WCyCuVFtYrsqP69Y6Xam7vmyHljxofDt
e1Nn83rsxLhOi84mnJlin3YTXVTxoC9jPth10ETzJupzu2qCIWYJnOYESzs08WLqcmIT7BxuT3lk
zIcy7+dSxiEe4yUqdViubIvocZnVEFwcielxlxf+upmHamODNj8VGrVL7yYOPpepQupKBwlylKwp
BKCkwqa/jiC1vKJBSbLEDYNOZa5jtqzQ4PZzqIbT2JFULSEi5Md9leZnGerxFaJdfRF2QvXSZxHf
oaxnVyTKpyYpqQ7XgyN4reIxPptmlPmtdSkqpEB5ecoUL/f1JNL33aT1peeh+NQ2JeGQlYFKJFVe
R2QZNtoP8E4b1EmUdba8KEZqtYwIQCxDM6Sb1vmCSk+r6S2eIyFrPdUXuraBl9TxppDEhWTPeiDN
C6+y/A2jLm9Xg4ir4GyM2nxLMzUvXDSk6Zrk3NhEFd00HIuUu2rjJ8Xe9gF4pDVFf8mzpll7bcLz
Aee4SXzkfCq7AMIDszxbM1P699mkq1ftlAVigbOuOOka1GxZrsFX58yoHZ/ItGtZM/RJQILuFRDY
oZGN6PN3eejbTJZD70dJdU6ukRqbtwSr+kI4pZcja+ezuGNZLyFt0XERNS0g2rbFbORk+G1FaW2k
z/F0FvSpPRG1Ret2FmOftIMPltxxdjPPsQ8XcUunvc99PSXO2GBJp7r/qHCp4pUgrlsNOhcb1c3D
q177sPtylw3lNqlp078XPb8mymM5zEP0FpyTUNkUtr6IB8Nl3pjXkS4vy9wUi7HM3E6YnILPphQ2
IO2DtTWRyJJgqv3CwvOaXKYpE2/rsIUMktZDphNGsSkkB83njWJpsxNhVV2KqmKXvWH1KRQv5c5l
U/kuiNNIJcy4+EZPc76edRC1ych4dDbGrO+lK/34IS4mNJ1UI+mnjRZhr09yi8NSsiybNp5E0U1a
Zu06tYhBugoGIJdZzetK4jYWZ7bJ5k0ImesuCB27y7K07Za90rOS3YzidsEMYC2jnhR4jStRvO6F
w6ugKtW7OQjmSyRMSlb9VAnIbXn/JtQiv+QTLs9s380Xc0H8HfmcfNtUOQkLXwGHyNLLKZ/cx7GK
3Sm3tr5uh34bNlnGZG56ts+rohmXA41zskSp4CLBbOpkP2NyHms+LNCQZbnMi6kBnMtIdBJZqvWm
69R8PPaNg6DRVEbJssPRO5SFzSi7xrtWoqIdZINQfUODxm+Gqi1Oq66tXhVmaN62Ys5vXROJTWl1
+KYP0TQn4zRmx6LvnF+Fw1gVibE+Ow4EnYNjbRu0wbwYt7olUyijKfcfciiSSzm2vtsVOTH1WrPY
x1KHTu2gJCg2rB3wph5Ro6VPlViGUQ48dOp7uKfO1vWC1GZuEpVGc5ggHgB0rHInxqiUyX4ELrfA
aVhduDKYN11J7tkN6dQ6Qk5t4sgGSg5BiC8z2JmbIWT2Y1zN5sN9le3hCsSUi46S4Ap1bXdhyrB9
q8dmOtYhMUBVIeEnEUnnpA5dBCM9AooR4Grr0FTvKpGVuSxIXqVJVVZqb6qyzTfYF9k5rgzcgtY1
p+APSr3qhPnUehCZwV3MemhLdRG0RZHJqeyqpJ2jaJvlY9hLqCvRtYpScTliNS9pPGOalFPH9FY1
PRCSqifuxBVRjBdspnSSmWP1xvkGJX1kiwBK01zdJ+XCRJvWO4AGaDwyYtr20dCeeMhI+0KzkSW2
SF0qR4y5kzbkJV3AE/1pL3Hkx9U8eGWldizvZat4DzWbZssxoPnWYaJkq/v51sQhW83jaPw9jTT1
knd5Gycl08Wx0MDLxkxXp1mrIZIEWSpeNSFHr010X1P4OCoXKoYsnqA4bM9pF5KdYT7dYNTbTa+5
O7bdlDerzJrxDcUMo7VRrDoOmj794Nu4aJKZzeWpFbTBx6Rt5+wt70YPBJAPbgKdCtSZB/nokfJx
U9VTW2T5w68NfPvzX9eVgX8+z/n3m/c/VvDvv06//srB335qfVfd91+4ww/dW/Ptu0CGebDuXjx6
9Md/qFk/0Ku+/GjCDwZ/TcyCh+lBVvqxjvXokcd7RejLhAftKoY+IYiuiIN8DKIYhT7HB+0KOoig
hQg0ZegmJ/CgJTRsfdWuoNULI86gqoFHAEDDBOnyQbsCWetehYYn/hAoztBOK/4b7SpmcHLwSLuC
JwtjEoYhjeAnGuAr4U6/166aHvicFYas6zSk1yqj8wK2nD0ZOXeLXo3dum/M+1ybEfwkjoHZG7PD
NOoa6eE/dG1FyE7ziuq3Ks8LiPYzOw2F5enxOPtcSCB2eSeLljFgMMOs5WBLtkt1DjWaBlXiWIuJ
rbO4n98KwqpPc8X923zmmZUgNvhzxoPxAsVZKYVDQUKbSq8GaB09GdseX3ZuaLbU2epkCh0HFm79
cdZPHEo/HJC3AYPosa29U1tVQtqXBRD0a12kMzrWBQ22wK8zm0RU9cDbWc8SKA/S12OlmrWJgmjL
RNV/aIral1IFsYaKjk/FmxQKitdpNA1i1ZEMvptUI0pIqQIo2ssZ34osLSH15qY6ad2YraKe6bMZ
q5ZK5bpih4ziNGkr4aSpuBFwbdK+CupKC2m6YnolCqpWveH21MZU9xB6ulyDKheZ7jzzU/cpLIvg
MiVlOsqySId9HUYmlHmQ9qAEBlNzlo86miC/xaZepZwGLMnyXr9y8zQdsyGqVt1EilzaRgNjGTRZ
1R2vdiRy0bEKw2xeGIrIynAlNriLWi1H8in3JRQcLI9UIG1J240KdAMRWaAuTkaPAN28E1jLOTbF
BweFyfFELV9OHtUrx0N+FVWIr3pC2tvJl0UBq5F26y5Q5KbW4fA+9D07CWqVbaPcVa9YPOHXA7Xt
qY60ipJ8ghS4imqkguXY9dbc55bMJVyx6KQDxWpT6lGct42tl02kbZZEFTUnU2/5jlo1nETeo1dz
VPMtUcGwDFkXfTB5X14bqJmu4BcB8mFTYYVeFXPQ1RKKdISlikZxBk+m5+c1QzlQNh3706iNyS5q
OD5GYYAnoHdVd9y5GYP2OMCSxi3TZhMGQr0qsm4gUot+3KWDuzJoTj+I1uqTQFP6nreGbXkwgUSA
WwzLVIXirO1goWTEbQz6YN9EVWJdXDv4EhXkEhgAn1dhOvRWxm4mx64HoihBqMHLYurby6Bi8yqe
1BINRbCI6uZDXZt0kbLKLBrfB28a2o5JK6oTNHbBindptYgmeu5B+BxBLVkZ4XOZtvRtmhdL02G3
qireMgnyzA76tofb0jQ3YdA2Z4a1V01bfxKFS5OU6GUpOi/r2iV+psO5abIFj2qahIr1Eh7IWFUF
5L7zFEo9kYA2P7LVgLEG7Qr4rSzoCOVq5aCeRFDiS6q66ARqiWRABAQsaqCwF7M3uxhU+SW4Yf8a
cp89DaDokm1IqnVJfde98ixNM5mRso3ljIJ8AK1ojD90kG0t5F0PhGD0WX6jLcTEBUQTPEI1OHtx
AppGnq9JB4sjeVQG48rGAxgJkyIkK5JBQTSSoQt2Q+TbPBlirm8LYrtVF6pgFTMVwbbw4zo0EV2j
nqIlzZrwOGz5DIQXQQbPKPD+bE7T1xyWNul8H8uhjvQqzoRpFzofcCFB1G6WVvluNSk1n/qoQFex
aucPcdgwInHR9luDcXVMeKovUhynK6Sq4lNdDKmXgY5AO5s9mlbDpMdlQYIBNDLQQKUlPagQtESb
RoO4DFRaF5spLZpVV+kMdDPH8WnLEJNEi2Ijmgw0VtxGsB2mdtGkQ7YydeWXJbX9FQLG+C4oO33C
TTM1C6w4Xzvg1+APmbtQCnV9QmrafcxGWy7hBHUzZ9E21HraeaTLdy3O3DbLQHqGquaqq3t9rGys
L6eiyc6ZQ/M5DrRZx6DnXjR2Vxf+2PT9dIF8USygbaR/LQTpV64eLBwYjLw5nnUdnCFnUb0lsJvO
h7otdyqHCJ/oToQndCjfp0L49zzQ+k1TdNUpLLN+ZfRMP/jIMr1oWjTWSVP26XmWd9Mu7yeQLXE2
u4XqPFkOsReJAwJ6moNqNi+GtCuWVHTbcpopyD89iGdw0rFtgz4GQaAE6OZBl6tyNvNVOnsQ+lOT
6bexGMlyqkd/DsUjOeGlmdn9OUqdOKbUbaPz7jjsOwDJBFFxVdIMdtn9tXlRkAtvC7zKjJ42OKzZ
TTjk05qlGYS+2OApIba0nSzD8b7WJjbYcZfBeQHNynU/QLqv22YVKmCv06yHy1y4KJM+yEBGj2N9
LOYpW6c0r5MiTcu3ge1mEP9jvJvhgEHLkDf4pKZp0yU2J+ExnAHcugnpBQoH/THK40Yv50rVr4HR
l5mER0CQXYim5buxjtUpjt0E6iXE1ig3e+JsAdtYqzNF2+yc1I5kMp1T0AXNIPQHEGwKlegckWA5
ZbZ6BYd7oT8emmK+BrUfYwlnWN0Jci174xrdvx5VeNt2FQjtwO8DybOSnHPhsjve+WxlWe7hLASP
RE6OUirpIMYlKwl+o1o+XHMINfsUSisIurhXXMYaSkrJVVS/5pMq70pS6qSD05mFyQsla+PD97nC
mG1a1ZBz39TDcoQgOmZBvIyrSJ3MddS/E2n2UWRuA64Vb5tYgN6Eoajog2xjm/AKzYDzpKrhZGrS
s6hkjUSqUUncDfOxVfWEr3QLTrLpRBFtR6vYVW9ByQJtGFQoK/xxnCsgHdGs3UfQys6qiQBQE26P
cR1E60ZBMpVNG6hFWahyYSM8vMpS2NPdhCC1GiJWNeSU19VUlatwbitQqsP2ouR0fK3rObjX9COp
S8uS2pV0yasouI5HvhzpBBoNwvGrwUXmrB0y4HukUG/DacLHfWu6Zdvb+ta2Sq8H7ewyA7q1GbkV
7xgx03kasuq2d3hcDW4eoGJlbLpqadFsOuWBmGC3oRnKd3nVTSvd580HYd28HcOKfeJzECZ1Gp3X
uC22JoB0b3ETfpzs1FeyUDFOk7F3JJdTHxTb0qQZBSapx09piobdPKkMFBwTsLOJtRBIoKz/aPoW
L4fAwWlpGvj1YIbigk3Ao0Ko4Fbch3o1K16fdqkAoaewJglTymTjxlvDZndR1M1ZFxO/CVHtFlMY
AB3wcALGJwbHkR4UvqkbdkA6i4USlp6XPS43aQ1hHXQ/uqqJXiNe7CaffxR0uq1Dcc6zzK1M5asB
PLjgl1Vd1yRpahSu8ibYQkw0nQRxK782DcRVWU2jhUOioVNAI0Qzbznzw4pMPriM0UTQ+6GeY37S
p25cc1YLwL4q6ScgWVW3jogJ30CSatbj4MM7Hg1ZczKbBrhfG2tx23dw8raaodz84Gg/XIky4gs6
d/MpcsGpDlV0CWRyOlFC5XAg6fTOtYUANtcpI2OjiimpshAq76GNyDVovNnGOA8leCnSBVTdWxLV
7Awigl9GTWZ2DM5mW2ky8n/Z+7ItuVVl2y/SGRIgQK/KVKqqXG7KzbK9XjTstW0JSUioQd3X35lr
N7eK43LdzfN9tIeNyIAIIGLGnOqLwf+4JzrYUWchzfFmnOXepCYcxNcWN+sP/UjGe/hrbHH3mvfL
OOzLQxMMak13EAy9Rkp4DlPDUZbPCtxwz9I20Xjeoq79gKokGZDWNuXXrqn0PZ2aIzxFmsRvaI8b
StMMpESesEbBvCp5/64hc8yRXZyQi0GGVR2nZhjLIysP5PLTpjDV5xBlpFejMXOdViEL7kqBKwaz
023ftPrNEsa8Pc+Tfk0WLh5kGTKKCxhV4lQjm/APuavoe2msfM2TRny1VWRv0aAV2JRzhTSyLisk
9ouusNuJtQCPnTu7deegN9GQFccqP077WM1IVYx7tqELLxVzLy9siHMkJ9oz783YnIMqiU57XYw5
ota3Rc1zmhDbnyvJqryVRp82NecVKd+RIf45REt5U3R9cLvVxXRqdHAbmuqGxeoNygdJunCjz21d
zh/CdUSSPxxVXsQtqhVhQa+J8zy4PjGE0DcwxHFa+0vX426ImdzxuPsZ7jCJKoMbwlGowEIoFMFx
5Kg2Cc5JX31OxrU9rVX5ca6OHaWq8lOAaweSbMt6Gev5LV7n3alf5WtKpuGMavENVUjn4DHyPSjo
fRPX5w7Zo9ORKJwNYfknClrAFOBpFk8jOc9W8POxDjsKCdV8i+rykekViamYF8e5UBrF/W6ZTw2z
mOfSTSeO0s9pbceLbsk5bLdvehnOk61u5mSozj3r3h5WNO9Winonr8LjNXyP5cgVJ2ccPVG6rvtI
U7yb6F3dTeX7wsgmZ4WJT+Ww2GwIgbpIUaQb08B09HLoqcGlNNiXfIvi4mEvgA45yRaV2lOQWDmk
op3He6RJa3WyLewrx1bkzRaI9KBsuWEBarU2IvbLVHemBkynxYOlnrl6taGMAhwFWZaHNqx1lfHS
JH+0TG/fZloWryaObPjNiFoeLjTxl3I1tszmIE7qU3TggXMX0ki956bcdIY2wuOa2txSHByogXdT
+2EOS3OtdTIe5kHTTncA58y4g8ppRMhbzGfG5g90x1YMZ/lxnpv4FQJMk2pl5M3WDt8Oo2g68JVn
81ajRjolmYnC5QdBHYngdhrKNwCyyBu8sTokOEPTft0lCk4b2Yc67cdi+ROepU4qNmoA6KLKNRKB
+bbjqI4VnnCkSsq7+iDbzSyRJUgl6mGZIqN5FZWI+YhC4fpHidz/175NVI7Sqe0yjbrDJ4mLC0tL
1Ei2tKhpc/v/s2+P2EefYID/De//G0oWIWX1fPLtCfL4P//+n7m3RKDHBQCSOAaxCRcJB7T8n7k3
LsH8F4P8LwTrD5DlFJCuf+XeqPgfIAlBZYp7WELRwoSE3b9yb/x/QOIEOKEURKB5JgH32b8Ti0+y
p0DN/evPj3FjGOdR5g2QIiYYOm2vub3HGbep2Iq+UQlHpfWcxG+nBU0a//n9/8W41+89QqElRC18
anEfm+MKefkDiZ7PwHlt/+RA/Sfe8r8Y/ppIfDQ86tDNvm5I5lTjMI7vV46a58dyO/qfv58+sp6/
NIuTiEz00eAsLniWkHg6HkykkzCtaB1HKaCBOHIZHebi8vuPPbcGV0Tfox8zYe3rteyQzkdFmaYy
pCWQQzuXaLb83VoAY/jLHxM+HV8kQ2hq5DUzGxn2OopWpj+sYR3y+13O3ZYH4kA41/tg3v/+g8/8
IImd/vgHGRmiJH/94NImYrvrK1vYE8MhpLLff+A60P/FOv5n1167ZR5/QKpjDWdL4wwXeLHe8Z0W
5GSaiVT3cYPXz+vINgAHDtPQ7QLZCxYNl7CrlvHm999/5gdyx6LtSHm0b7XIUSxf83KOUFcrqSz/
8fvho+s4v/p915V8tCOMwKkaTztAj2W5DCdJZC5o9NM0dMD5M5TrolO7i+C+X8uoAdSn72WHko4k
Gt2gv9szz/xCeXWMRzNoy10vbbzCwkg7nujY/8TFW/mZTzpBB7BUvsp9jrN9n8SXEG+8tFhs/dZv
6tef9HjqslZ8omOcNVSpHyE4sO+7QAFR4je8E3r6YEUKs4rjrJ0FKsvrgCxlcQi/wCadwDO2a20M
brbZ3AfHkYVbsKDcbZDw9Jy+E2zIVkZyb2sEm57Z+rRzvgFLgFpmcv69fZ4JndzxTZ0sa1zbUuS6
nYbiPSo0g/2DDkBu3c243IsHQJ4p/+d95L89B6TjiKTeg64HvjTveryo3k3oLZ7/0PMc/Pz9j3nG
DYQTySYZ2nDdYpkffaSR72HBmAJnC0j178e/7vhfOLpwjJX0DQMUYC/yPpCHvqxjZJasXXfAnAZV
scTzM048oawv5GoCkQPkTOYbVO27MDu6qN0yJDHXzc+vhRM0hn4ZCrppmRu8hj/imVe97VBX/Ohn
KydqrM0moxVXqJwEm8raaRT0vmR7P3xuYtlsL5jquRW//v2j6FHJ0jRSGJmPLdtvA32Eb5MyGtv0
9z/iueHp0+H7AsAYGIfnFknLDUm1jX3lR29eOBifG94JH3YRPagHOM+XFiswt6XOmA3wUvCbvRM8
LEoLe7vXMmfT0mANdomWAcAv1OH5AcefmySIhwRZ2TyJNKqxqCN2azbW4ljfef2C6yX88fIKsgOj
FuCRlUyV+kPIaXq3KSCi/ebPHUcTeDujhhMLPKjZrG7mg24J4H16Df1cjDsutgFaxJGyxwt6Kg27
nZC1lcAvsfGls/kaeX4RkbjjZXtZl6FescRDsZvxDAiuEO90cKAUimqTBiyuJHv3pdWS/mm7cu1e
iOTP3Xm443jtVhaiP1aEwla25q4KpgIFogPILZXJea3ZnHZzfSwnVSGpc2m2oxRnzlbafwASiFtP
AzsOuhc8ELIJilyLwJ6pWkUuRUtf2B/R1VN+ZV7ydP/FABuqgQxJTkMktbMjKhbkFYvjaG+AyhX7
23LS/U8TsFXfsEN2QNVRSrrXREhZf5ENGpBemMozoYI7viw7lBD6VSH3I4qJnviR/DDbtg5+cTR2
HM1GI5foWGF5aTb5Ncbx8waICe0X5+Lr7n0UpQdadnUQiCSPW7xkTjaS+kjRIbRPL2yDZ9zg2nf/
+AOTGvaYbKPM530tyK1k4xh+30wEl6hIBQB3pyzAn+RAeukvoOIm4mk3x8FRWG6xyiPPuSyQRTcD
mYA2tSzwDLGx4+AHOoIGy0eR2SGOMr4v5fngfXD2iq+x48W8QG2tHrYDdddyzo9OoBlnNPULQeKZ
PRs7zsmjsAo23CXzGni6E5mj+lzsPfHcVI5v4lnSy0ihUIdUbZeGVfS5K9lLN73npu64W8RNx4DN
PfJS7PNru3chzs+himrPfeOcnBVqwYaO+5EHhU5uybI15wL49NxrWZnjzdQssZmB983nAgDIlQKi
OOlI+c2dOd4sO3LIRWBZg5lUp4baBVlaYDX95u64ch0GY7gWQHEMkWovUwIgzhKz4/L70a9u84uA
zhx/7Yq4Oo4I3YdrEP/Au7BZLmwGJj6fV8E9f4HjsnQRS1c3xQokCB/fJ3NfZxHrG7/38hUT+DjU
oQWOsvXga96zmN+CWN6e673zDDfMcdlo1m0hj9rmJcq0r1SrxWuztZ5TdzwWJ2nRAB0850NfF9Fp
jAngV8CaVeffL+4zTsscp40BG2mCA3kY06ntrpnL+d4CgeDpVI7LIj8aLBGKypfRluv0gQJI2L4F
lItXfvvmSmbyeGWbSC1DuQBNtJWobTUm/rone/fCxn/GNleOjseDA3XXMCmLJRvQlYPOD4t6fgLE
u5flqeO01NSMFLVcYPng60hwAevQyua3rNTxWeAHxiCY+L+mzsgA6MfCfafuemssCzTIRUuWrEga
k+vok79hrsvx6ObThIsp2gmjb3VSnaxsruVXUnua3fHWisWyDwH4BoyC/ECDYHspVemZeqKOtzZo
D5UKzUxZclidtyIZ8TTim9/d4FpEeWyYDZ2eRbs3SxbPxZoC6kPSyBSz3xFFHV/VlSFdT0ObAVLc
pWulfqClI/KzOnH8dDrG2fTVajPdVCzlLP4aAIDiObjjp2ERowOkCuZMDIA9TZv6Ntlj8hzccdNh
SrYaN2Gb1UCkprxWbWpHIjxHd/xUABZbogkcU09s9HpCeeRdAfyUX4mKOH66WUY6hpHzI4JQYnp0
ksdntKbKyW/PEMdVybAl2ppyyXemO9TLqYlzs5L5L68QSRxfjVRBRnR94mQtpvYuqafoPDX1nvmN
Tp66k0VZnaLn1+ZzQv+MavKAHsYHv6FdT532Wu87sEyqCt4gPH7difDMrxHHTxOltIg6Mef1Wsmz
reKPfYNeda+JR46fds0UjIm0Ng/UrECzIO4FGUK/zX7Vrnwcv1AWXs20SYBU2u0fao8+k1iDcMej
mHMlH3k8tFRrGeC83nMMO81A3k4VB9yQln6hN3L8dClj9AOwcc5BSBR+YWCmUOmkjsjvphE5jmqH
loQtEO257sfj3G/ie6VM4Wl2x0kLtC2JRY3Ame3jftLaYOrNS5XX6yC/eBxcwQOPDZ90nCkT6DkH
S0yCvt4yet0Ghfnst6yOi5KZzCNkVrEdqwLQNr1+EVJ5Lqnjowfrk7qoGpuP6LJMI7l9bQf5zm/e
jo+ylW2rohg7qKePzO6vYza99hoa/UhPDN6jsbgENmhGe2YQnIK6uFdH6JkfcJl1osgYADzRKw5x
rbd6F1/luLd+oeXKVfR4pwQV7uljD5u0VffQl/2lAN7JzyaOdzKz7nRD0jvrj+UGHZ6vWOx3goaO
Y5o9ngHaw9sO/bj3st/ybiz86qCh45YKTcSVtZi00Z+OxYIc5w8/azgu2V6JX44Gi8iq5vu4JQ/y
4H5x6ioX9XgN7bA0277yOd+nOvp47DOg0JZOZ7+JOx5JuwIwa5XM+RSg1k+65iYpki9+Yzse2bRq
itHdFwB1htttEPJvDC1/XhEWRORPzYKNPQxtiCO5UnwDrJEBOZmIxctxoN7wdHQ5LWJm8RJkA/8w
9mcJJIaPTVjieGRVVgMbqn3OrQTaYgWLUYpml49+gzs+uaJAvu9dMWVRZW7WFsX3Af39XjsFsmZP
TTJaGzZBi8FlG7+j1vyl2D56WsXxS6jX7iHaBaZs1PRdjLHR+eY7tuOa0aoEpVuEtDGh4b2VZX03
sI17WsXxzgrg8Bb3WWyUGI0tR1h/annldcECY+lTi2+JZSs4huZ8A6i9PoUMzW1nghuQ8gotaFB5
+gGzalYAbzTnYFX5FqzLZxQfPnltRReshfbHcOQUdgHRTwzSJqBvqSTC6x6BhNDTiY/VIpCP3jDx
bXtn+/AOLAieHiodD63BO8dERadcNvR1C8BhBlA58bO4C4Cy5QjMpV3mHKjdK1nLqQa7i5/FXf+M
g24vqZ5yQmJyWnU0niJW//Qb3HHQHRWFSep5AgKAfy2n7U6J+IPf0I5/gjiiaECVM+Z71F4Zh8Rw
6XTtB11A99bTndLHa5cswNfkKCEd5+7o3wj6b9aA/xInhI6sp4NbdO2g92Ed8x74lDad7Bi8CpZw
f+9nGcc914AiKqKRIifL/o8JN7htkt+9hnYRSDMOnsqgxxZkHeX7zZjbUGu/feiCj5ZCNrxG43R+
LEOVgf+EnIO2+8tv3o5zqoMV07g1U56gba9h+xstX7p2Xv3kf7+qmAszWgPkgxcjxhykLLFNR8Hr
1wM3W7rWxO4nv/k7Top+7a1r+njMW0VBA8U+B6b56De046IbIIktF2grIGSZbpZpjNJoYX6lOgY6
0Se30BJsYWqkBBNn0We9BGhUDswffjN3fLTaBtOMYTXlMVFszQ4KYq0UhHJV43dIC8dPWVWW0soW
W3ILQH1DPqrB7y3OhOOjrUIjNJkxdLEnD3Oo3haUe5WhmAsqauUOgtRlH3NaaJIHkswPUbkqLygu
cwGVRKAxa1HYiUWIFqN9HHLKPBFdzAUs6Q09hRtIuvJuMWEaLuIyrKVfdhhdD0+34jwya1kCkyM8
vlp28qqNNz8fcmFKyVq2tkY3eC7QZJyKY3+VjCCQ8NrmLhQpwS4JN9KMeQSOWxoN92M4e87b8c5R
oTrB12DIJy4/q2h8aJvB6xHHruzDj5+fxcZ0A166MeewTIpWeRBK7Vr6xUMXLjTTegjqPhlQt6mG
00iaBxskfldQF04fhnhndXE45KWiIMdakajIbBhwP8O4UKQanZ/HUu/wm2TXaGHm/D264A+/FXWh
SEuNVjyA4Yb8SEZyiib2BiepX/WcuTAkG3Ro2d56bJc+YSEYh9FgOlWpTMCo5rXXr7w/j3cN8LNh
AjoE2B7Us+LUIXmWFwUb/OoIIPZ5Ov7eWCtHXZhcBlMzgHTC6J82Eavno9EFHKEhNkTfYmDyEdRt
Z11yEPlMVXzxs47jrmAEAbnOEprctpycQg7gN4TdPeOjS3c0t+gimWhn8okJkCxHB2m+NeiVLv3i
WOycpht4jsZ1g236qkb7+aw/bW3kd+bF7nFK+lUHwsLunTQ3+xROl7Xtqxsvu7t4o4UudDftavIr
19znsC/KGyYkeMX9hndepRRxMiY7ljXpimEC5YykaLgtetAc+H3Auf2iGNf0nVlgeTqtt+MoP1VD
65ebZy7kCE3ABCDg0eQC/amqnB7WZv7gN2/HW0EHv9IWZC856BD+7HoQQFdQVvM0CnsaCgakzGVg
wTtIx1r+KVBUuLGgOvbcMo6rzmGw7QeNQboDvt6UA/qSBnsgMj/DkKdzH/cANfoWo8cLGB/jyNw1
3Usopr+voL940Lgwo0FtgNdJ0ucg5ioLEAt1NYIN2BtByqyTsrnRZl8/WD21t3SiAc/nqhrij2hx
E8M75P+m8UMiNL9pUJfsb+qmA/+DaBWS8eU2yHBND1YP46d1IIE9hfvQNd/6qgqGE8fFEvzJMXLt
mTB2s+cWFCn7iaNKvd3aIZB1TgTo8W+Lvgb9YhQim/AlALJ3v0S0nsSZig1jrq2aj0s5JOAJD8ER
bi9gA9rA9Lpo2v25CcaKdzPjQf19imKwuoJGMVnyccPvPZv5iLM6XNAE3wkSgYp0F6W9KaO+TO65
7NC4FQ4H+UBksqYL4eOtUdN45GGfSBAK6XZh52VkZZyBZpAhhQ3OXnYqW6N73GeTZD/JUYHyVPdq
jF6tHYgtb1sazSw/YO0VlJLNcnscAbhCuiVkZxYuIEIBAUFxfGijuhd+txAX/TJ0aga+PenzBMm2
NCb1fXWAXt9re7rgF7CHRjGTps/33hT6DC7hOt+GUHne/pgT7fXGQHkJlpmcxxXoBXQAAiKa+MUF
F6ZGWbHjFtyavOL6R8GaD4VQnkZ3Av2CMtLWEsw7tkU+Je0d6An8MpsuQi1ersSqSH/lJEnQYx8k
EBVoo97TJs61bAxLyhtUHPOS1HW6NcNPXo9+N1bqBPkavbngoAv73O7WvEH7l7rp6az94jB1onzF
VWg7wqccPKPsnuHyjb4CO3/12+hOlB91uSyLWfq8kaX9Y5TDgUpEJ2dPszv7POpUdAQUi8pLHW8Z
mUA1lYogboaz1/xdqNesh7UIqhnEVqz9uRp2FweTX8sFZE2fnlHGriCyB7l9XoUJcGTzJLb2RJOa
/PSbu3OpAZHYAbo2YvJ2SA6Zin6gqLGDrs4PiwEK2ac/YDVdG4VbiQtCGLHUirXOlFKeFwQX72XE
WtTge7uKXMwQN7ERqKOCNcz9jONs+zVEL3Osuh6dqG17x+kSg/Z+GLkfvp+5aC+Qo5QAMvWIZJ0V
YNOm4Z940+5+qeArxezjV6DY9AAmF9xXkcrabgsGHkwRzsJz0zvvEALlhkRdA3yt9JXzfgBx0ay1
n8+6kK9ojDbwDMk+D/aO/qiANv9xaAsOZK+FdUFfMaFdDboek8dcLKBvTjpwXxfrGr9QO3ym8Y25
wC/0g4KNvZVdDlkHOn40jVr6UyE6Ys7r1Acf0RH2JgiStj7jFtckpzLBY/RSBXHc+62+iw9DIy0P
bY3757oPlTwFugYBha460/o9o12AGA/pgTfLNTIVc1S80grsNTlI0ufQc5GcI+0AYzhaUkmXU1D+
gB12rVeQ24L73vOOEjnuzadDjx3BB3ZLAFs+7Geg9//y22HOmdbOep8Te3Q5xI+m01bSn8cMdQW/
wR3PLocD8igNtLlwt720pLkjZPJLAfzd4/gIiq6DICzBPolWF7aAeytgKDWsx3u/eTsn8Vy1YxmB
UzYv7Cgz8CmBdzIGxbjX6C5ObAWfYtdhRXM1bsF3XUPJaAxw3PiN7hzEU806EG1FOsd15Q242l+1
Q/kCl8t1v/3iqejixEqQ8zM+9l0+baS6i66UsqXqV79DLHQP4IYruTRU57SRfZnWUg53lbBd5Wl2
x01ZsvWUd6HORdzVpyGRNw2Ldr+d7kLGRtNBKCJRXZ6AOBkkf5qdxFwvD79f0+sUf2V4x0mTtdmX
NcL53h5swK05nMoka0PIZGQcD6PO645FXewO6DmKwsxjmx+j+I6H+mstqs+//wW/3jr0SiX1+Ixn
C8TYYrRjoUOwL2oQRNrlx0ohFuQ3vGMghbtyVxVdmydGFsjuTPJW89h6uRRY855OHjTYdjtGTL4o
K7zxIwI+bIhDeO1L6uJ3En5AZW5CsiMCxeQORj4Uf09119WL12MRHABPpy+XtTC4RrR5VPH9DGrF
8F2P5imvWIkE9NPRd67wIl+H4FxG5dbf1WEUviHExNZr9swFNsqdF+DyBxtvaCnkHLCLIAPWBGHS
n332DgudC6IO1DQsiULAjMkHO4fvy6jw2jhQ7nxqG1CSzDIcMXekfOOzGlFfOmzUeW56x/IdImTQ
AKqaRWIs3i97YD50VezXYgeqt6dzb1UHNTEytdeLgXwwmsb5DLJIL6NTF+AIEl0dFvrqsFAGSPtB
PgRgc/U0jHOS2H3udrurFrAV8Iqd0BE7fD1a6Be8MP7fyYr/HY+pCyzjjJKNc4toBtp8/XaIos7e
qGYZxgseYpZcwKXHp/MQt1t/H+x4FdwbUUM9gkSUXSwnx61gwR6nyVFY0B/sIOB+C+L9jZz0MOzq
dEBP8fjeF7uyl87gzD3ZuN7+opqxV4up57tdVcuFFnbFECCpqNJQK3Z8rCL0tzw0VyKJj50CTz5o
UAWDXose11MVAvn5pjZVAEkDxSYFXtCiX/7ycSPqAuKAaxzItSE5K4uofrOAVfWeKAIyfr/hnTXt
wePeIzva5GQLf4Cd9iGJynd+QzsXA7w1d7Aer01OD+BsW8JuST+9xHRxnd+vtopz8Fkb6PKANG0+
GJBp3I7T0a5nKJ5W43nFC6G85Qlvq69+v8Q5BqMhiTlbICgamIBnrFnby2FAC+s3OnkaEaq9gCzP
CErmpYdaZlAcn+eavGSnq7F/ZScnCkdhqWwz2ibnrVUfgKpmb2VVbt/AYB68kBx87hNONL6KZpXE
gI992mjDIXA0jJCNW0Yk22/Vio62Fx7Vzyy5i5oDPKG0EJMps1LNTXOx8QZm2zpoM6Whm3kCotsv
qwRF6KcrUlbInRRjC6N1JADQjX9GIPK8Uwkn4xaAcASJgK7JI5TjZrpeZhq9//1OemYlXBCdoMBy
HujBPTflIObbpJ3iSy8T1P0heNeGXugCKq5ff/REjDE2V5A0Bk0HmP7Q615+SSBT4heQhOPY054M
Su1jnQsRzxdgrmVaVJHfY4W6QLpFIRVJbVTliknwoC+7PstEeb3joIv81DAhN1HbChBRR4u6Axd1
ynruaXPHjcGn3kJ9FUMfB8uKZLhoqOT9ftNcDfuLCOFi6HYwlakpaUCfrcgrEQevBu6XxaMuhg6w
wisRrirOpl6Hu3qa5jyI6QevebsQuiIW1bJTaESC3X3KoDbB0j1p2cVvdMdLw6QZizgMVC7UZF4B
9fp5KHc/cljqYuhKLspgIVblEGhtLzaZu5twaP2gqNSF0QU7SLuZBim6quvhbCp5H4hxyvzs4rjn
VoeDnWifnGfN1HYhZP0EXnVIj/gN75y0VZ/MA3RfQDO/DG+ats/rsfc7xF0o3V5BNF6XuEi1M3Qm
O9uFp6ONX4i8zziRi6RbgM4/0OEHJ5ogCgHU2MlwMAr7GcU5YA+Q9EzLbBS6lvR+6koDlZVi7BI/
QBoIqZ/GrQRS4dA4jxM0WvUHSWVbjK/6rVF+fZDURdNZ3hWQEYZ2gF4PlD0fgAJ4wTJ/p2p/Ebxc
LB3jB2TTu7LKoz2gy6sQioxoMCpBtvkRTEl9ruLkoBA8X3SccWTX1tMAyvcFFJaG75fBJuGQHSYq
yTctYrLkhYQ0glcGnjLnnGyTmR5UxlOmxDZe4mIG6W8APRWvTeEy/NCV0AMy21NGV10BZTF/REvl
5jm444Z2HUCTI/Yp20V0pE3YjCfReMYnRp5ut7ixPKDDMmWHBkXDOu8/wxHiWn5mcQ7K4DB6KFpq
sxKI+XOyVtUpJGjf8hvd9URAnwu1IJgKQ75Pmn7QFfFrqaQuYqLSeLH3ELKCpPYYppshRVYUgM54
zdyFhG7BEIEEZr6mk0YoyioaSptVE7Ryzn4fcHZ7p9TMZVRB23ysOE7LvYZSdxXziP7l9wHn5Bnn
xh5LYWwGkXCTacnWs0mYV9kDaplP9yTeDzE1FDpC0ZWEbo2h9auZ8AL7UxcSasTCpmLG4FDaatJ2
YkPaQyreb8e7gFBWWVAz2M5mpI7MiUIcJ0XG9ruf0Z0N3zdShiEt5mwhFZR1ggDdhBsL/U57FxFa
AvgMyRo6Zz1gXmnfjOWbVtD5D6+5uwx0bIWAUcSHOQsg5nRizVFCuzD2Mwxz7odQdo56oALmDIym
5B3Uc5vvPDyE353cRYMecbUOs0WI7DrensBzDnoiVrxEwXN1yV8cmi7LVxtBZqjpqbzwoo2Xd5XV
Sl92TiAww0aDU9DL/i6YqligCB3VCGgxkcF5IXF56jbrB6aiLt+XqQoxzxyjl2WnzlBFBPyj3//h
N3UnmDU1VgB4xjEzG9TdlR7q86QLv1jjgqkSw8JZx/GYLY1dLhoK3ikYhg+/YEOdSLZrPDeOcR0z
iBdBZW1qPh2Qy/JcUuKEyUqzo0euJzOyEifo0NQnQFL9YP+o6j8dvRMQ5BSyMFmgg/FUH6ZLqYEO
l9+aOqGsYKwdoRFqMjUP1emIdXuSoJb3O/5cDJiNdqScx1Je6ro7Ph6h2f6ow+4lrvfrGfcLj3VR
YAVd18gCrJzFY4R+lGuMNyR6KUf43OhOLIPCDdLVOxTaWIDU+RL81bfdRy+ju+ivJiJRAYELcQHP
V9FCChQAv7napi9+wzt+GrU97Y9wTKDYqztgWOuNV/c8ajvp56su3ZeZpMXFySSXZIrSOiF3beh5
+LngLxBxDfNOMLRmuApf8RCdHyCRusgvCCioohJDAiUvUB81a8ROrJKr34WDOG5ah201H3vPzmDh
uulG8y7kfmyC1IV9hTFARVRrBt24FZKTATSV1YPXVvlfkC/QCFUj7diZQB04yplp0Xddrdp+8hvf
yRl3Jhrq1vbiwvpoA8c5m9jdtVXvJT7BqzP+IgS4eC4VNIbJteDQxg2mm7mAHuObCeJyJVQGB2ih
l/pYq9fzUfw/PK7/fh386qP8aUQWOym6pR5avBS2tdtO0ARvicmaBl7XXqpigxDk0GvoyUD1d8DZ
vtX72InbvjWQJr/gYV03Om2PZtlvq2IPim+UroDdddBe7puU1vuxrikePGa4b3gkzetlKtaI324B
E0OTjkdbQtsypImCYus4C4NHUc+xdFfNyb78ZsZK2yhljVD6lh4N6J7POx70ojzvw7KOJ2jW1dsH
UMiti0rjBho8oPne1TZ1aZTYgEOqcwd3e3MTmYaDm14jZznrFH0F0BwGA6rou0+GaNwda1HLn9po
/PUIWfrlzAH3haoeLNSclgWSyvmx2w2qS00IwdlvUEcNhYVqYATJ2jSWvKy+doo1yV+6tFDiQSPn
0Y86BdtXvX+5gvRuzKH3Le1AGjWd1lVNUXMWaJwssgMlG5IFpNimUwF95jo5LXzdY32GwGscvork
wpOLiu2h0Rc29PsNaPy7E3Q3F/4aEslKnkNFV3qqBKSuu01qeYZse6fSbSj50AG/WfdVeZ4TPLHE
CRmSrewxs6EboU5LuEDfyAKVRSZwbfw/nH3bcuS4teWvnPDzoQckCBCIOHbEkMxUpu5SqVSXF0ZV
SQ3wDhIgQfDrz8q254y7xm1PdHQ/tFpSKpMkgL3XXhfsJRxpuLhbI6ITZ4HKLpdx1PXl0g/J18n1
vPRh37IfS70HpKvOI0M2/ZwI/qqnJMvuqasovd0rLRZVdjs0KulR+iWGI8LOs6W7g0JD4H6ZGkGn
Q6HILhFMTOBqjGqsJ+PengKnm/8+IQV+VMW4Agw+Z1AgyZd4y5AxWHTDJRZeiehiA9kt3eAjqFh2
kLbgoJMtSD1E3Coa7nPCAKQlZ94OQuctggSPvNWId+Sb72c0sCGy66WyXO0NWWx78DP2qHs+qqV5
2bZEDQKPw5gsxwbJ9htiR3WawCVWh64ExqHFF+HoMN7IbQcIpBlZthlZ3A5gfi4FyxJUUM5RShE1
SGnzFLfIdT/CYKXdbobEx0C1iYO32o4xs1sVtFskWO7A5OQwWSPd8j3pImhm5jVLzYeM9bEodWVZ
8x04iEAyMihT41paxK7a+3Yhir+AnjX1xyZkkAnJkYzsemdR0t7G2rf7Wz104wLFzByN6f2ERasP
g9GI2TV93EyfdNQLkmB7axVnedan0twTxCjG39OmqgRi6hExrq68X1d2jWTOdPzceB5YAc97AjW6
8jSWsHZGLOmPynnVqrydWvGdUT6ZT1CX77rAdAlnF6QSY7gDq88K/PIYpT/GZl73c5+YEF4QnBoj
lhfh2f2PJsVjflJtst87SdSRJJNoHsSMnM0DEbXRzwi63vZHD41EEmESDd8AUV6ciPnZejcMv7SY
3Oibhk80XI1j01VXUyLj+WaZZIbU75SmyRfBk1S+xb6t7iEhj64xRtp/QB3S541nqlQwCIrKrd6F
v0bIw7qfYB5EPyPCMZWl6aB0fMqC7oZ7RPzW8dmP9RIO0aSb7STDTPhVxreWfCK8aqtnPUllCoMw
XXgiNgRpwrnsOYL81t2y+Q6p5Y6cqeGm+4hkjWp8WJjM9JHodsxK5Fau2Ds9E7M+gj8dz3eTXPmP
Dp4AQ1EBpfEPeiMzthI9bv7A2ehmVRJMq9abtoHB8bFSi4FCJcpW9aKFlem5Rxwwz10Vzfy71rIx
BeI2W4TOIsK5IggHSul2th1SdkvnExIhc3ZIYgTu7t58ocgplWvJiIphZ7jhXdSRsnPebBGymoeL
JU8OQ7u9vZ88hGkHZmb/NSHBc+SfKWQ8FoiC4Hcol9R7hSWM8NpOJ33Be8/GT2FCPiMMjvoelmfI
lN/3+uwdVLIvAfl0c5XryWUb9vvd+HFEDCmOaYQcZ+1qf/hlpewVGRkzDoQWbjXyucOrXG6kcct8
QIgjJp2HwSc9y6H9HNhVJ2PZHtZV0S7kKnZiv/GbVUAwN0Q/yROpAmpEKNm0PlvEoEX5Ptd19IGz
FuGvOuVLVFqyxrLMwr43rzPZaXNa3e7l1dKPUVVOPqnCLUW61iOJbVN/AIqchEtAbefkEa7xyl3L
Fh3MfQAKgbTdtsZ556qKTeB5p3q7RYZo0xbjPseuSM2cRdAtzLZCRjHBExQ/O9L2EGMMqXOP9Uay
5DRiZNzcj3C6Q2op0uiRcANf8Xzys4zPMZXWPTA7RcO3pN5Ed4swcwSh54PuO/1GO7HjSehh2WYP
oxL1isj3fWsOrG9T+5EjULu6tqpu6BkiWt7dLchQjlFGLKTjJbKMaPW+wyoZnuZWN+xkx1opcJsh
YsIzIuCjdK0bF8wJoeMUnOEEHGJysAaph/nqwpB8wN8Ur2us3fa1g2k8NOky0WNaTLBfVEWE/QkZ
3ZXZPjQJd/QkJLKpczYMIKsiiltERTCLQ+bbPPoNApI1iwsMFIR+xNtl7GHzQdWnaEhSTI7qqo2W
l77fx+Ea1F29oyoa9u0HTg2L4G1bExI/XSY1lBRUT9l+txOZ9hY78R6qs2hw62E0y5EIduuxIU8P
SL+w85k4Ld1pc1yyy8m9aXgCKFxGa3MnscoJ/OrUvqgCUdMhPFG5dTJH0pjgxyztsb/lLfXN/EBc
LBBjO1uTNnnn1o2dQ0rJdp/i6defG7shIwYfko7VA/KlG/8sWlzE6z1p5q0c6MLcCed/ZJCa65J+
Pfg9y5Acz1o37riZs1qPq2+j/mMWB9c/rrhm6/XUgIH30Ky1rou00aP9vJksYV/6JAuiz+EQRgaD
K0U79YYI4pg8wrU+ld9GOK+0X6duahP0VzBEpEXfIG351GcO0dJFq4ngYz5FS8BR2G04PlDtwTKW
R2zNSguThjGANppF3+EqH9KC4FBvzvsytS/Zguf70BLf8aLedsxf+mxIP7EEvIiCBlE1BXrRNENk
4ZgtV0mXMcRE0430073Rk4bkOIZ959HIphvvaG981OUcCqxvzTgh8JnFdbo+xAighv8u5qzyJRWD
18e1Q1LO45Ro+llYpLyUNq0ABYg6cgiBH0yVHcnc+OQB8yc6PHdthqz5uBmmERtmirUBWjyIauKq
hYnqfFf1nTRbIdJUPQYwX6Ji43W/PiPJfoIgGrrXxBewMazaIpNxbR5aC4wp173qpgMN0NV2R0jU
4oOo6DCUM6kS3Ilad/FduphLkiu3l+JHgO2rVSHFypKyXyYSL3m7b+FTg+jnkeV7D+Hfi4G4jb4q
y8fbeVhQcRVaNVERN3CFCwV29zXPPKfuU7LA9uCkuDc477ONoEynEPAalweaRu5c4y2Qp2UcXFYk
jE9lG/QyIEUaS/0LI7Nfj0nWdjGSSWZYnsVpTUVJOzAxc0vj/ShxGHkkj7OqsfcLqFNyKHreZ91t
a6vwIMIlAHWfd3pjhWjJQSDBZsMxipKjnPcU277v1kidWz4w97J0Vbw+D/MSF4Clp+Rr6Cq/FpXX
6QnlGmItW6hoRkzd8nlr9Ek7A2ONFLpqHLa02HcnTT4iDImXbibJSaEe+OT7jN4oWCn1OZfNZAsd
J1zBs9Uk+TimDb8WXoW3FOqf5i7B0umv9sbu8m6KkvmReFi8ogWi7lZxkeyoneJ0flwjAya52zLE
gqv2DhA6xNpIF6VwI4eS9y7MIvk4+kgd2qThSLbuN3eztp18UB4O+mWLx7hg2+KLRFf1KU1Tebtw
Fa5VvHVfg1qbD5J2c1ET/tSxuf/IGjnIXBFjQTtZOoTU5xuppbe5QrUbjgHxbuHE10S98ngz164J
QpZ4nHnR78u+HYe5YdcB9MX0o49E9kF1HqyFMnFDFp2qPlt9l1d4cgVk8kGTt9pVwX1kjPOQr3W/
CVA549WHsr74AZy7sO2wTRFzHAySdafJJuhjajo2peJrHF2vcQpBM+TTnlzPOq7kvY02644rdP7k
deddwgsZ0tXdLKlh6isq1346MJdEycnUpk5vm23tkMaqhrXLfWxm8UqXzpCHiS7UHGDTEAZYEliu
z2O0yu5LpJEl3BQs1KwuiW20yxdWoxSVCHuvi7lDjeLzikaUdnlgYal/bILR6XbdxnX/jlAqj3JI
O8HwdHdYW8zkDQRDzQEuOlVyNYuubp62GL3/YRxS2h9dhn0HWfAITDtPF/rdYcr6hD5AVNOwG/Bn
aVzGcmPyHEM2tf1SQx/QPyzWCUOKINWqr+1kKeE5DEUEJlJ7k3ThCa1xlqALBmVzv7G2s9gX9JD5
+M70WJIfWjSr/kvLWnlOR0wlqO199iW2tI2+Ipzeok3eRoaUQoDQusDTgWIpr5YVu7udl61cezWL
TxyafvcqPPb2z9ZOMmlKlk0RzqtqYNH6gfu92VQeJUlGc+equS9kRbvk3u5iC7+kkPt3b3MNNdtB
NIj6ew6d3iQMB9g4PyLjmbXbYVjh7nol6ygZHzlWGXZEQudJYHvSWwawUA+Q758aSrQ/0Va3pC/T
fUYJkHeccwUb+BH9Byq+ZirCai61CGJcnH9q3DwrfyVb1c6vnY3G9Tg2kZNna+XCcMd26edySrpt
/dpKBi0S1620X51vp/VoFOmjQrZLfFNPquLFhNmjuw1NkyrckqyGGNACZS9ms04oSicOO5nXZYdL
LowApup2VMl05atNPE80CQ7VAdt38xC6rstn5GnmEIUhoR75YqIZj8ELFgqFCNLlvFOLBk3LJcut
82Nkcrc4b5+y2Gf6lxXRJuKwt4TokvvLuZori4yJU4Uy+7aGNReeOhr39LpqkGl6Y1QYP0mBi1BS
59K4y0mNKfOr7fYmQpUaSHS17Xiur1AHxNm1wxHQfPOe1ldoAWL5ZYTFeaYLJhWpn83KtIYldNzz
esnxkDFaCOyqAd1cBOHcnum4vheNJ3sxY8F/bGPWH7qq5gOWWrVcjwQIxh3wCsoexbDx9tqvs/wO
JOYzSg+XcESqcFDAR2TEJM9Doqqv8LNo6lL12BTrZm7vnCOozHYYjPhzlwldmD0gcAQMenKqs5l2
d5Ojtrubq8XeLMaMzTckOLv3aGqtLbclwm1Mt+y1XdLLcKcVONu31L9y1BKuVPuEWh28Jrflnc/6
I8TKkueN8Qq1AWgLK8LuxAa8FjuhBb7jmnsPQj8iEsUF6YHwe35tUYzlCQMD/QwoXdpbOokpeqQZ
SHwgBWWDWs8rV8p1uClLIBaK7qqpDxuhoskOjeD1k5qQDX+IIRSYftnWpF2LSAO5+gq7AyTIzkzY
9DDoJCR4NOvkw1yjH7kKQ2PzpMEGavJ1mZFip5JF/xCst8kr9Ytei9DbGN1Olnbrljer6KIvdR1X
38WlNDmJDSrzj4Gbd9d2LkW5K6cYxWyftstJIhNEFJLP/fvIsGRzgciOArEgJD10MhW/gn8t3XER
gjjA37JK0cogVP24JZnPPhsVSeiPa1kBGYxkD2cka2DFUaIo6f014+P4o+s2GmOfS3UzvMKpTTZF
MmtPT41LwxtaZ7XfzF1Svfe62yVDQHdYk9te+3T6GFWEs/cYkRnsDa2lBjLSKHYrx7nF3kF0KBIV
T/5xllVmIDXCbClVXJHHOuIcaDZKD3LDPAxFj3KdeVJubif0sPLVrnnXL9sHeCLH6Sczy/UpilL7
SVRZ/BHjdrdfjRX0FqdoRGO8df22HngqYOi7N6v5hGve3gxxC1obb5CQDY+TdDyPWsqpYGbofW6i
qv0Mpe6WTww6GWNSz2/mzUSPGffbHZe7FsexgsXIoWNhu5oQK3EVm46cU+QYY88bqH3VUrHwYNQI
9fC6wu8nZ9NSuQ9+gcXrV3hwoDmzwaf6M6BhmuV8DbgOiW8abAuSxnRExZFBfyyI+6g3jiKRAkpQ
ClVGwyLYw2Z7VM6gwbMDEwq4iUf+OXJKsnmvrxJDzCvs15v2OREjROAbEhiea7yRnNZrbJYC23Zw
Pp+BjdEH0+osLajB2/k4jpUfj81UNbpI0sz47xeu63kcur6/2bJs7/A32sg+t3HquweqMo+CLdT0
KISJxhMolJl/AhQ9HLBNDMNxZqyxZaLXLgZdDsmth9ETbCLwgbnGvQAcURk2GrTbHqTlNQT3bCPd
rMXAlri7jqK1369gP7a/RQyxSXmHaMgbtY8blk8lcDlaTw6tTJdimpy/pmOMglPXw00wmj2DvTxB
IQB/R+AcMGqgaVZ9jnbQyY8CCpnwETjTtuIgsiR+c2JWSYYMnHYHPGC7xQznAROK+qveJ9sXuFMQ
vItWozLHjtmtfaGnysC/HOZF8g4WaSIrpOdmOW9jOiGuHrnZyC6tVi7qPGKwPTx6SS+LMGpWpZCu
OKFjwubTls1upT87iDJknoyb67CMMe96X3B2VmczO6LKFY7aBEzMPknj1zFFhVauXs66yNKVQ+vj
eGhfaw6nl5LAb77+3AHQSPN+WLT+SLYdu4eKIh5f8yzuWdHLpEvKEWjYWozDCmgrhy5vU2UDHRd5
SM00iycEgtRrHuACbQ5LqNiYh2RPUcFIE7sf0YxUhZxB6iGfkGWzZlc6GJ/94PhQ/pNFgcpvmY27
rEi7rE0eO+UJTJMNmgJd275/DhDwt8eksaQPOYPYfgWAqYddoVF3gBzwUG8oCpFrXk0Io5a2utMj
qfdznJJtuJMGOG3ODfXwSzd6fieM1vo+2asBVJCKtMNpEWuUPEKilnGsqZnuHvOfIZgj8hv9fAS5
yPQFpips+T743kYISNydOEcd4JTPpOsvd4ij8SnjWZoGuj80YP39AvywLaCvcHbJ4TkUJzeEJwzN
JXPRcKrBs1i/+yRIW1acV+7KY7/25cyMaQ8dpWIqEyTSuDaf5j7oI7rBTt5UKezXQL7sLvFgSEsb
y0bXcruuHMlEAZ2IkqyEEwPBgqqrHvNsjEJHdc3Xje6oWZxJTwAJRkzrJ9R2OXDYuM2hzdubcsJj
0B3TbYmn96xmbRehd4hTR3NFYWLyi2n7DnquFhMyh8O0R52YFlE3yyuemCRs5zYWVLzCM7p3tx6t
/Wbwweu0SVGDbHR8YFndbZ8ifBoZ5Tp2dFyOFzdrNKSr2Nf0frl00DdVNLYbii/wZWEwFSqlHkIf
WzQr80I5FnjaArPKCsxaGLpVYns5/KgDumvQqULWk/fZrdGEYiBjaJhGB7ntirSacb62clzEA8Pm
oVAqimZ/azWmEV+bxo/tMVXpEHlcXUMHhCXzuX5KUe5jLScyS9nRoDSa3rVJmRe5iyXcmn2WLuIl
Bj5XI/4F+L/7Lud0aV9NtIzR46gw8HlaL40qHAuC6JIiWyf4GkM2Z+burHvMvfCQpIYe5wyNDz8g
R3GZbiBKVcwXO2ZIIzrdes7qrCSMO3HjDSZJt6iuBb9FWZTaD0PXtPN1pqgfz9GCMPOvlJCKFPxS
sx2XsY+WvMsSH92OBAZPT9Filxp7HGzoC4nKeDiEpRfzfW0dhC49I9n6sndgkRWCWAx5atoNsJiZ
VeR+CG5N9UK9xeY/IN+gWffraEe+NkpW+Bp2Z28UDainkEFdxNnmllMYB0lPM1B2f9W1fCevQBUZ
u65bTAILQ3oQAA6QbpJZlHg2d2BbF0QtOk5zkiwF5X0T5Vhzd9zYkGLWyGCPcSQxqNXTsY5izHv4
gBFPyDtErIk8TJth5awzlp7ctsj9ZNItIgMs3RK/SGB6Cllp4yLj5pbFs7WvzMJV/T1T6dLforCt
s2PH9CI/eI/RTNkp0SioE0FOfayHoeM3leqG9oMXuDA3IRGtvSYLInXuVrzXBJHjYWePzZL16npr
Ztl+RKNXV2tBFlTLU9mMogdsncKjrSbFgsVsogLeHzyYEnPATMhjC2rwxcI4+wIHQ2LjQkoYYPaH
HqMgu5xRgM24sC5rzPyIc3oA8AwyDkZpqN1k+EBx2SGukky3+0dMT6rtuGIlH+W+Z7doonl0k0SV
RGHHCdzrkssYTyRXpOHcXLVNNrHbvRshco2TMLovvl4kTCvaBdYhR6fMFnQee84yzDgTkK7IZMVa
cAAb9mu/wrL+cYTtgk2OF6vXGJjGxpC+LuZdrk0he+/bMvTzJVHOWX7P5iodzinE5f40DWahpVqD
GW4TC58aQKQE89YxzNlyrAHix3lk4zg6Ykbp6rITSqLtNJM1qJBoX9NvW4aY95tqV832DEuG1AF7
19W8v9GBUfXdtCPpzoRC6ngmQH2nOwi0Z/fSwZIatc3A0u02TiMbfgkTa8xtCCqyAPi2RBS7RDmS
A19eMFuprQXZb3Lp3UJ66wsXEBx6nvEWmnLZk6QtwI3nmJmn6YXRuIqjBJn0vluRDPyR+FbZu9nt
8XCdIfZuv9ztrILWQbqA6Habpc13wHwRLRsmImNh1op+prADnvb+gMq6xQGJjfTS5vvZ+AcZzSst
QhTFMxaLmGbIJQy7XEFpAFehkpiZfLDZ2kVQdtdZ/bZczse3bIFSHfYGTJ2nUYY4J9jvug90nhOH
tadYP7ncCAuhPyAmBEVlmtSkpAmLQK+haqruE505f8Q2Ci/EtRvq9d01m9luxz3r2ad5W3iK5mVq
lusQsn37JLLerA8XD0d6sv1S5T3MbqYc1ai6gOVmW3HmYoD5KEKQ2bXVUBrcY1DSw4MBtfEOaGtq
gVoxBFemzH2DcHUSOYRFiT9s3LRA7eZJP4MmEaMiWhHK/NyA2YhzERkb8G6Uq6jka2aIBLl3IJhn
rVdDNU+jy2vo/dJ8FOAR0AKz73l5B5CkAN4CsCHuG9CKvY5y7lC+NjnDLuuAIXYj1B45TOrRdx43
yEMRDjRsKddfoLAOy5wvHiE201W/OlY3hZ/gH446lPCNxeVMNagc5X/a2cGeN2LiCpMq6goCRpDN
I+GmqoBRMv1I8dvRzeq1MmepL9ivQvu9mcuemVYPY2LnA9CCfQGvNaqi839Wy0a2YNPuBKPubSsJ
b8Yl34NmDxhYDUvJK4i//xiD6efwOR7SoR8H2x2I/NykL3z9Y3zmnw2FWEdXjGvwurR+FgAtavYH
JTQ/h86NMDyUVZ1lRxyTBCCSXMmdxW5t/42G93cMqzAy+C3TB1BY4sBIw2Qiwvqb9Fi7m95HI2wE
7WwAOCVrg1iATE7J42YB3aLBaiJSjNGG+/SvKVQXVtE/Yxv9RCxTGNFsdTRnxxFppl1ZQ0dwB/Lg
VKBew/gRszhx/td/6ffIVD9xQefJ4lEDp/gIQ4Ap++DCWC2lUahzS4+TCe6kcCTpUJVuYfg3V/h3
SJY/uxM14IfhNEnYkQtkcjjYzhwmYM3/5gP93qv/xD4zSPSzmZYMzJH+ezvHr16Y6o8RZ8lP9FCU
6VNvVMWOAbEfuZ7DuV46+gdf/CeGmYtjN4wLZ0dg0AcMUuu8ioE8/uvb/HtX5Sd6aLWttWOy5kdF
Ioszfa3yWOP0/2Ovfvmr/6CDTlpDwQ7CdUn2Ht68TiJlch8//OsX/50nlNDfvjif496brcHjojOZ
vFlgSr4gPCTIFRJJb3Kz7Lo/QVfCzB+K56M/O8JooXwGGyF2RBwq+5ROs71vYsCr//oD/bq5/pPV
/bMfTNYEClhIpcdeSA0EWg7BY7iCf95D7Phrisob/2dI44Ff1aZ5afb6JcaTxk6VrReNXkXpA9IZ
37aVIro5dxlKsr+9u//1mzAh+9f/wtc/RoNmX2n305d/fRl7/Ptfl9/5n5/57W/89ep9vP/Wv9uf
f+g3v4PX/fvfLb+5b7/54oC63IWn5X0Oz+926dyvr6/ex8tP/v9+8z/ef32Vl2De//Knb299PZRo
eub6h/vT3791fvvLn2J2kV3/T6Ls5Q/8/buXT/CXP/3v4U3P3/7jcf729m71//ub79+s+8ufRPrn
jINDxCRLYkjjL5oR/375TsbxHeAQPJZUILfnwh0dEH2q8afln2PORQYmFoy/Lz4Bdlx+/UbyZ8A2
aPnxcjxNsBf+n8//+Lcn5W+3BNfj71//x7D0j2M9OItXvWzW//eBytLLnwBUHkuJMGfBftY7c5j2
rTFsCI7zorz9oBchXvYsGkzJRskfECcmbBnF6L8Gso1HqC8aaICRi/YPl+2fvI/L8Omnd4K3gYZH
YsRAU07Fr+/0H3YERLrwOgoyOYzw53ttRVgAl8jqvCqk3iCETd7C3ibfsab6CoifGZeT6GR0iJuN
nfC/6mMUt+PV2Or+K9Ngyw0aCCPmUXWNFISKPRIHBgmifpMSdP3lXjc1RsvNxNpDis7oSVvU0zX8
Ys4CzXoRTdEOsFR11SGaW19SloXDoDAnR0XmP8cARNEicTZgLhDkDcfgLOQyAZ21wc+HHIyc+DxX
fPs2gvtSLE16j44hOkFsw7p8t45+A2O7u2MUiuEcwm346sLL7mbjrqgBvX2n1O1vcTuzF4mH4AqM
2PXatd4+1iAUNHmj2xpDJj9+h+zDnhe+zg86dfE1GeOk5GCHHrlM3SPw4KpMhyQcSEOvu9GcUCaA
b4Sp9UcwlboJyBBkIil2q8/xUkmQN0nyUSNB4rigwj43A63yfaXJ7aRVdMSPkKstq3g5ej2fbErk
rYqoP6/iUuKG7ogot1AiKXK5AQOvBtKTqoPxkzlkC5RTxTIN9Bgyzw4VRgdQmnL3wiZiSlmPtMzU
pD+Ab8o+Z7uosGGh1KVgFZ+MpTs+2vS4tyHkPY/8nerb5mVBnMMn7zEbbNBenpI0Jfk8JvVhQg5r
Qfd5fZv6Rhx43w5PKWJJcEbyaLlD6sZ8XSualjHgUhC071I9ncQQ3YhJ48zbIhBJSfaAyHUdctKq
uNgJ0PR+SIDeAmnP2kFetXDOza3ll3Y+dCeuo3Ko9rawaN0st4+wjeF5p9HzZAvEoiDF1ie6wqgG
jnagybSt+1w3yBcZrBsBFClXhCGKvmf7tB3EOiAjjIH6d7Haw1QvgsLsQqI1mBtf/ou/KXQSVwDf
1Kcd43fklMZruFOpxxhcj/ETwczmcenX7YGYaC8mwEml3yFqAIz2AD4chub9sl8Z5dxT1zF+1XXp
/pS6CpPzPaqLngImXdEHPbahHh5Q96oDTWp2AHWFn8FGTgumJxBCBpIUSB01pxGywdduoBR3M5tA
YGxBgJX9LxS9zCH2sn8BCxq4G1rgEq8BByk98dO6QcC1gUx0HpkTV8OgkgMdgoQHV5+poo+kPMyK
iGIDDa2cFa1PM0Zch1YFssE5ccSkDsxfdlwoaE3YIjjWmoWbTmQ2zMCHPvSnBmfhddBZlS904w9g
KdLndUNVMNj7zez7lVxHdifGNFw13bCWQNHjOyX0g8Qmc0hE+kCWvug0KG6KDMvNGtP6Rxhn/Uuv
tqWQHYr6GM5ZtwHEiYc9o9NnhV3/BOoDv57h0H03+NSd92Flxwi+Hg8Wb7uYMH19VuAkfEuMqK95
49jJ+WX5Mafd9IydWWCWOs5fk2lpgLE1FVA8DsW6Afw1AGtXvD2LlBWodebLBHNZwhXbp96X4BUB
RbdmWo5IrfZHZqUw9/Dz90MJqVVztwC+K/UcNcdGAU/Qo8C8HGHRuogxB3ZlMhEKkdeyUuSwUM/L
ta5ewT2qHlLQxnewjuSY5GBA4T5L9D9gq8VieQJjgHd5Quz8aiezF21cqQdkc/TXOPzWu4qC84I9
LVzZsAzXPvT6i4mHdS2EmrGu9YrpzEZlC48oP/w3eWe2XCmSpetXqQdoyhgduAX2PGhrVsQNpoiQ
AGeeHZ6+v13Z1tYn7RwrO9dteRmpUEgb3Nf6xyQ0kWFY57TJneO9M8HeWI3/taA0Tw5NVbWbeRyq
o4ck7cOmCXi/yhpp5kQwELyvK3YVjM6KVNxvvrM6X5pNvHbDt9t7fRBP6/BRYmPYUyb4UKXae6vm
fl9puoEgH3m2x9S4Bk1h+OWd8xh4/1f7B9SFoEwjTeoPYkIKNJkL30Cf3UM8w8IuZVkdUjOei+gv
wwFLfXFDHD4ZuzJGS3IQcpn8c1MitPxChtePT4Ys7WdyKSy1HRqt+ex5FT7j2Kze6iLVLngMqjSI
ay7ojdHx3Up/JTdEIjLnkortt2SaPvLS106L56j4pNNtGwpUICJ0BmDHv7wLBMNZR5Bo6+kvAwNZ
juDU2SK+jcV0nrgKiaecXVnIx6Hv6wMSmex5ZNd7Tg18GRHsr+lcp9Jvv5MS6csmzVzxXrXK+o1K
YjkMYFC7hcrRk1gm78svXQLLY1OXe80znHMsbXw9Wju3z2Ruikul+K2SfOLuJqO1A7vXWvGUx6L9
UdqifaK4q3peyrbd42OatkmfsPtBTXoigNBWF2uNrb3tZMnG7Zld/mXvHabZfetTvfAeekKi5HHK
nzQQoBOKyD6w0dxv9LyOm1CSW6G/19Sj/ZgdOWIgbTIAmLKgKH2T1aPzU0DGVQ8S4qTeDFm1yqBH
QropDK3rA5o6jEejsmqOWy15TGdn/ii6xni1tNl6rgejPPoG2VGmpeqHuNCS10r4aJ1wk4LCTvwV
zFqzhLvppqhQ2Yyg3xxOhmuD0fueBs1G8LRBUkxYzWsNQaPMLcSVdufJ4+m1U0Ylo1y2UB2iytV1
yUtz2KzILaxgvUNodKTUai+NeYzmJDnEfa1+pa42R3W3pO+JWfYX10pKlAupEValbYUTv+AQ98re
LBHsaL7yICzU+jDSyBR1rd/jjUd5wyzm7ZRCP86hmpcwHSSwD+rUxJVmY1WCd967PbqVY1/L9Mg4
g6HIhM9iFYnFC4LyFClmw/2+86Vr3Oi4WNGuE5mUr7XoaZS1uie+auvIJdsheaJhpXSqSNCWfaKF
b9mk9ZKUUdV3/UcTizWIpbMg0jIJu0Jby3VkofFuHS2oDZdo1HpNHqZ1cbaDzTNqp513FtgGgizp
0CLbQWN/pfpBddUH8PgnqUiBtAiEdj+6abbMEAgXRg+d/S/my3o7GE4DbqmW6V1Ll/ZWoOfaWHlc
5FFBS+H1zuqsuwXwH8dz7u8ILEFVl/vFvbTJ3sskETuHCpKIJY2EHoTaaejBbAfGWDYbFevGcuuV
btbHul4d1AUl/nIn1bpgsgp5ynI/f5nGOA1MeBR6d2i/kZhVblNK5+9GNvXyNZklBGtSz/LdG/w4
qjQHlQ7CcdcKJcRDE87oCcpNXXomivGq12Uc0NzBVfsvGxDwbxbKrJnxN8RlsnfUbB9wWjVb0XbV
uYLFvsrZbU3m2/xN1allHqdk0iI5G25MAXvcFnvpyersmR7EhLE6e37kObxrC/e0WBm/xj6xbvZs
9szV/aI/c9qk6GMpt2+iVJF3Ravuppzi6ZjTd9Pl3tZCybph6KH7I66S8+w4qGnGQvtc5/je6ysG
7ehJ+Un7go/K0E21YFnN4mus3OQh51Tk9h9K3DwgtQielniJcluvLjQCMb1pk/7WIMm8ccG1J4pi
7JPva9BONr4kG5oFp0UdfzuIzje5YbkPyslMBmh3RA81I3bH7aC9aWLlDFlUHKvQbyp9lzdlv3EL
p31aZ2HHgRpM69rFuh9m/qo+HXwyjwun+M5MNB1gHBNGaVRFOBb9V3fnoVHAtJF7L1YSDh1ImrMa
kWPM17hjKMhm62TxCW3kkrtIYfQao51rbwQXDZx6KzdlFrsXPDPpmzF21xbp/hZitN8VwMeKn3od
zp2T5Cc06S4HiVmMeyR7DG5Jah5021nujChKnKI6FXXxKszyS4u9h2HyakRWaR62Kte3WVrNBy3z
uJlIwK1dtw+EMawPRduWvykAHR9qpi8o1Dih3SdP9wB489E1fuWEeQwo37a5lQMYqmVvaXbKLrXO
0ZIu5dbgQkJEnyypDHE07FG2LWFsknSRHlTmHNNFoKFOTvmaiUviJsap8lAZ5hKPZLg2TnNvbkLt
rco/Hv0KRtBP8wsxowzRVVKHwlsaapTyLALTyh+ThYk27hL75A2j/WgbpXec9GbaDIbEa6J5+Pd4
20/jcjfDWHVnMIJW+v0xdEJ34dHQVFdEVBPuYxSQO6SeR5wBO/SRkeGlO4hWnuklnCuniJg6siOU
vaQ1UqpTZzp6tAjupmCt6/FguKWxlZqEjbcd2J0y72yi69Teztp9qzNDrPbkhY4pINzoKz7Ea8n5
N0181HFTa2FaLihdkR+e0qT1P3SnsXeouo13xM12SA9mcWzUOkaGZiSXQnPwDM3+tF8naf6E17fe
hbs2T0zA8jCQ2POWV3F9oJVPezKm0XnK1zbnrHRQt9pVl567QaaXlL6Mjc7Q9tsgePbgGY0lA3uo
/1gUcwWaPZxVK0/kQDjRose/dMXdZy3hSoRqOGbaC6QRVOUyiaCZ/X6vLYV7UOboX2Yx+8+4DYao
wmQT1gYD7ORW1gYdu4fytTnrKQUURlZHQseuZNlskXr5JCeVMydU3ScwnB2V+GRCDAHaobfMPXoD
7ahbWbmpCLjG+Db0R9fPnxzkEo5XicC0u2ttvre6uozI34mi2pqD+JGn80M168YeS9wzIrhtoqFb
Kbt9nBv3a0kkILBIaBgN37vE/yhLH5Np9tkBbIRFR2lO4lUQVmos9z4uq4BrpjqTiWryHHf1wffy
k+ekJd4Yez2JjmRv1/GKfZl7O3vJ6zBHG7KP9epu0iqSHe0zz7oF7ust1RRSAq2iFUFEzsNRi4Pu
sFwBdOa/LVPWSAhcmPpsrkQkR85IjGb7tJZW5AyFvsN5GG/r3I1PqkAciiSw3/v4QeOgaqV7zhJK
bTzlRisM8IF4z2KXuQdjTE8UTu7xnRNrYWTOa9O4w1mnhPk1kzYumG4afDJMCErc5WUJ1JvHizeG
nhyd7dpnzZs2+0XkWawoqwBnLle/OSHrmZ5R5d9yR0cX4vD/o5eAAj0OZftVKVx8Zb5oZZB4OpIG
erT1xotaYN8tEFNzkB6WpdZSeURn7XJZTUSqwjX13xY/H8L7MR9CF97uY9S89jAhCLqpsXK2Mc4y
+D8/6GlL20yt0rdiGsLRinXOvPrDEpr+NGGZYMNR/vJY6nhQCfYR3XZwoNVn6m6Cedb51cPrIwCZ
/c2s4cIL4BjOJexdJBoxn13Sl8+TVV+SjLCq1fjCI5mCf7tH339Weg57Y93Iij6UQ/ZrTsavJemE
FehNzSButqoIHJG0+97o6i3XpkbmUqEiaWr6ptbK+TrmE+4uV8v23Fx7xL57w+0hZ6Zo1j3MjX65
97yaF8otN9y2X2I2r1rl+LveXfeOZpwcLJgBs9a2naYfozknXUhQcH5ouQ6eO0Nfrlac/hgtEz1x
rb1Zme88lFINnyRUNnv+PKhyxhaXBeJgtWxjjCjas/KtS22RqiiVHrp1I86ticNQOuYHB3iCRKF1
3iyrNCIN8VnkLcZb6QrcEMLrwhU/JjM0yu48RKrwNeq9GUxczYHv4vnJKVUNllJ85y5+5DQ7lLkK
07l8abH7BDkKm6yd4Oa4wLeUr2KUsnZFtXxojWfz9mj5JptjBHUFWrNnlux+W9jZRcYYt31juM1d
waiHnuyW9tarhD8PXWUhBCt05kUy7LeuYY4o+rOtIoI1tDOzAMoz7KtShG57xVRFeSfjyKnEBjPv
hvjsugsdYzra+Vnz9VMzZxmvY/WMVDwYp+oY+72/z/rxKlZfdVE/jn401kb5krS1+vCr4YhOkEQs
Fo6gbNRetIXaEXRoVptCLfUhQ4621QgGOGhGau7z3phu7TolP5Pc6ELe0E9W/herK8L5ZjYBWrA/
LjjXC3qH+mAw+h5SkKFNpaazht8uqHAlbHXlenvbLCS7yfiQlMAt41g3b5Yh8ezKZUyCTPOsjdFg
ga2GCSl/szRn0wUxY22IodhW8YxfMQsp71aXerUVWKYp2oMQcow6TWVR5StSN8sq8Mkk4YPSEyyy
cbZxscP5QdtY2evkKPvKc7ah3/5MGn9/Rru7BrXUQb0O2DG8DV/bY5CwtYPJpripLX2J+J7u72aN
KZn352c/ls+lWac7t6bgDElf/qZVIN+t091GpHWBzPRsk6PARjaqEZbEPc+cjHJWpjYygKJ5QqQ2
BStzwrK6NtILra0Oa5M3YTvPP5waLffCKX4QWWJfCt3MUbykGhBxkTdtAHzDtDwryzu7hPGj9iNz
wI0cyf+H22yK0orMRV6KPy5QF7q2hbAsIdWj7JPWiPI7Hu7rLiJG/HS5aSbv+Frzc+9hrqwsBAOb
PpMxatP47q2MFyV3M2qyn9jnht2QW+QbM2kyUOVjVNrcyBlxMDLoyOfTOBcWPG6+407JeRLLCSuH
9ob5DaFec7eq9pphvPiOQ1sJuqicnIC6lGeiIZKTGzfGnm4QHZFwUvF0VuWaBmoR7tW1RIaoqm/3
fIm10c1sIMrAMt8yv3AOMFntd582jI6x3Z/njoWp0iz90ayc5EETtbVrU9KNsXYwABFPZhBnPXLz
Tk3pnPVpiDqGP8vwTayvoBRnv7vXJ5RmciQs1nzh4K8eRmGluylphwqlDNWbyGysFjFHSRJDQSA6
eoy24epz13Cx2wmYrR1BwurFTD89wXmBMmHOX03Du4y4TQEz5+om21qEhrK/Yl+3fumWUaeIOq34
T1xk5QtjyA/pOwg88+7RHPsX088nOjoBvEa0UATCNAjB3P6klM7j6gB8eaKa9kpbq8/Gydy9hx81
hEfWN1ONQjgBHoySJV9v+jipEB6BRATKZIHNcKXyatkAdAK/bUmmSp3J5urlFka3VrlUpQ6v05Ki
LTI7CtdRCGAGwjpoOuK6DkmGDrdvf9qkPxDgH7vzznJGuw1H20qDxmGxSeIXTOz+wfPv4w65JcIb
TwqxNweeksfFdL8zxn8CSsohyoGgOAmwzYbTeE+YKDAxhf2aq2gcjOos1vg2uutNJMJ/THFAhvSt
Ntt6MH9XqcfD6GTWRZXMxp28uxGJ5/m8ezRIMvF/+rh196JJsSU5no3RiBgNFIiNBkVUyAP+DGPP
rctqbB4zpqZXWRjOFaFau8c9lxxH5Wl7FjvURF3xOGRCCxTE1NZth7PBoN57w0QAP6jkZjLX/kDg
o3adFnW3nNgvKSm1UZWX0CsdGqFUE1M0IlFcKoJJcGuGg2E9aGurnw1XXwMvJl3V8BKW4jz3QYZE
fhoq9WSYHS9nV7lYP2fjaMb+M4oN+5RW1bPOSxToznxPqPA3KMFf6kJeF/wPYSowZSk8OEaw5obr
huSX6HtRdcPWZMLhLAQatTeDP3Emz25OigadlikoQGfzMM8knBiCA9nwO5wlvib+1I4Laon9IWSw
WPl4nf5Q8xhGyz2shJU6b7boZeVlSPv41q3relyIrbx4/lCEeSNfnUQ8il762xFvspDGqUC+6oF2
72ynZxRcrEefueiU4VUi5T7Kyu5tGeWHM9UArXhOwrZ2kSg/xv2URisEy3PnWGVoanXxZOl1d2r7
Gp17ItI3B3vmPsfnGpEfUGMb9fAIGW7Upo29oRhb25UDvsvxUcE1XZI5lUfJu/ZZqjiLw8JtGLsH
DKv4n3gDkso5G6MJL9baJW7XZjgmyBsjZXQHQ3CeBraDlwJbLNNgxrQQSHfhOimLGLGpY+tAjoKu
tbb0+Ri90nzT29S+D0AoBT1VVL8I/xl4f9Cwn/lL5RFb0uvgAVEVmrmtOd8u/lJIN9Qwj/9eqSfb
cB/Oj9m8ToekqfI08NH9f5DLqr2w9xMAw6P8pqpiChUYexrlY9o/cC70LT+1XfwUyp9+o9djrwM0
8CdIoTx38CVWTpaD3trjmzP02cOkKV7jJedDgGOa02uMFHkJ1iFjzCway38pDNEfUlWvHFedPv2Y
ddd5HYmVx8bpglNViVNXIJm2je+uNouHBCEjEqdC+XiIk3tusYs4vAlt081ex2LuDtBRjHHVaGZb
Nmp775KiuAaibjDqutjmsfjN04d0q99piVNjWIbfrOUasT8ZRlW9NX8XDHwQbiuAVaBJIJF+1L3T
ZA4ZJ0XNfxGOjf6yiDplpNSdD5IfeJf4Y72/aJbof2GJzNC10jaybcbJ+SMZyLdo08XBixNxgWVV
17FDk+1Qo3foxDxsm6xwHkdhc6KlbsKD0rp8emMqrL2mxR38E2YmMhf8O9JVBYyK0xe/HepSBlpU
XENme111T0LZ0JB4pqlUsh0tlLEsLoMm1DPIWrolEwpL9OTrJB635RDgYBIZr5+cksgl2iByjdj5
VeOinzZ2obfHnvigV3PwjcgEld3jdbMeilnL+9CNvRkq2rRCqxVMlTZNjdh0uPhUtoVR3FG+SkTQ
6n1WKYZbD6vPjQefWGfNHw+1WZsP+pR++jRBVUHGTIvAcfphk+4R9nbSbnJ7veFeQ+zVlD56WSSJ
Mea3UAzlGrXLR5OR6a23gWXWVxjBmq9vjdekaaNpyTsMpt76httEj0hM6jajHOdIKcMN4qI7ouJl
63DXbs8WmG57S4ufxgZTgDuKnyoe0mUjK69Fhjh1F+kBfhH76z7ZeUyulkTeS4h1um7TVMaPczVn
20Fp6gd1i19Eajlh7sf2Q9V15RudNJyIORkRru9njyO2nN1ExE4Zdn5LSBMsilhJVIz9UwYsydaR
S/mSjvrw5JoQPhuT+sYpLE09Ozn+wkiQeLYRJRZ3spO7Ybxa6lktubEnY2ra2cpnQUOCCoNIuEQN
dWpN7uZ+U7ssHhvXL9HKIwgIUL3pb2psukCN/QKaMhV3YtaIJIFcG2zOL2xmTCmD3e28urEucpZk
Yi5FFi25+RP+LT4xiMhzwTQZli0LzZKV4oTxBHeVlMVmgfu7FDJ13l1t3RB8Mm9lZi37fhjcfd40
3alZjWyLHlx/SlExEtLFPRgMzUyWFFNLuxuqOX5OJyWuwJX8KBJS0G0r+wQ1bdz4rSLjF/bSXIx4
dELYtUoFyIVNZBQNDURkf7jfy1LRYwb7wg4I66aO5KZkRDasPD1gqS/Jao8P1tjctGSNKtC8S0vS
xwEbkfQDvIX1KSGwSw9aHTNvBK1CnlRD+LO/1t/tLOi2mgWUCvFb458C6cB20Ip4byUF36/uG3Nn
MCicEEnvC4onP3MiHIwNUY6zGyROlb3x+f5czJYCcUAEri549QDjK2ubiiMh+w+d0I5damcYCzGu
OV1gA9MB7sDf6ZFtW7gyVmsUmzkXUIqdMZ1I+BKh11bjj2GxlptcuB+b1pXBgMSdRNP65FZO3weN
cLhs4MyZ/9slzZ4GFN/AxRKrnpVwQg+1foNrQDHP81tiYjMKJ/9Dk1X20vud+wcGzj87o3HMRmk1
Afs2fn/PnLuKs9AoMP9p9YcGIftQG213j3UxeCoMLdJzq/k5++RJBJjWsKAr3MIn7oL0Nxgom4fZ
Wg+JiRETYRCWUa8qHyD+Ff7JijSHXtn6KSkRkBNJAcGkOS3SLe1HjNvwp48tSISinvQT6DO3zSQd
+TsGrGRNwGK5s2ZD7tHs4Eutx/YdYOhHlq6/ZkVhuRxF92qZGFCy1kFOz3WafeAuXd+HhcwsTiF9
2c8dczq7Rs82pReoA9hZosTPJuL3VPXoLeUaxpUnHmjddTdmU8x7rH7TGoL0DQS/JrVNxxW2nGTG
FUqh1TyQc4Nw818LTg4ssV3d7hHGywi6rDZAMZJe7T2N2JM11byd1irz8V4OdXY1mNeB8+gJkYcW
riD9EUO7uhVOYu/NgQaYdKis1zYfcrQOqFZge3TEHJo97frxjo9reWdcpTmDO+ld6UF4Ycuauzyq
MwcxkZtwE2TVAtA+ZUQGGjOBRrhlzjrRbeFQmYh8qhXrFgY/V0aiFVj/3f5bGhmBU3XcjkjykTN0
ebFuTMt4ccH2w0w38Htxmm7gd8uzVpg3Z6rW7T1gITCd1b1iWyEvMVPq11SQSR/03uw92pDfHSvS
6l/1zCifIGn9Z1Oz1Q0CW/wyvbQ6aYuAV6v06Sg7cpzCJClwINSp92zTenVAFP/Rg0PfswK79WJl
Kt+ipOl2XKXoXTCAPYxm+YR4Lz8rZq69xDMT2bP31pZdSlxbmzFKekq+tuh1bjMpPirQR1u+qXaF
I9C8FXFTNhESZq0XbP9VWOXxdLdZuIc+zXdpOadHpyQQC1upd5SOc23inIg+q/T2Vb1UB7CMKVyz
puSNUPMRe8L6uMoOfLNz3ZKYwUX/iIn3vPBKWO+asJ68Ln71VTPf0i6pIjdmi8u7PolI4UqjUsnH
FJ4wQw21tz2X98f3l9MiG5DXQlXXvJ66sOryg8U4+1hhr9vPLFFnfynJtmJ5si6N69d7cL/fXt+8
2PpyShIII09zjlVbQtro9MPvZaz0jxS70bYvSn/n2Hb5aowuB9cAJ32oZHU0ajGewATQhNiOijLD
bN8K7OMXD70spW0mFowOopo4OkEUEHqlNmxxRW6TNpF7U8uQddQkLZV6i7EyHwAA1LiYetAk8LKp
rRePHNNkg0DJqw03R72Fk9RPozl9NZ0B1tMnqFazGWivgIq8cm45Ifqv5YieAB+in6iXaUjU1avi
ee+P3vqExLLYrFkMJOUb1VPLcPFEN4K5SdKy+bEUkySJY1TTSZU6QTK+4X0LZcVvU59jdF1ZSkGk
4zbnzV+JlKL44r3KiiVqshrUIK21KK/MfONgSDtIYtMOZeqaj0YmsqtV9QDlK+282H2t4QY2kP4u
ZvjkIGsqrNQAkcgdDHFaRG9/GPmsOM/WHtRQOadxXag7WXJVoNvK4BMc2//dxr6Nz9NIfgMSMkPI
OxRltfIxYwkvWQRG5+gNH3co6F2PUWUFJBEOP9ZYmG+gG9kP9GnrA9iGtUn8WCMf15dfqWYbTwvh
R4c5rouXWMbpBlqA9Z7kp8DyG/fZ0Q19l46tE5I2mT5NCfR52NhjcRzo+/7GTT09V1yvEDNL/ND6
reOgnSjKfTlIe6MRYXgcS8vaUqQKq9B7lX4rimX+AcwiLlBWxcarCRjhkbf7BxgD+7kcWcC1esmf
81r7JfuOWPWO+5NAoSOpnT10jtM9JK0yPh0ySTZszigwqnrQuRMzDWEQ6SZDSwRln2MdBJ6ZnnC+
MQCa89hFBU0l27UDyGikP4eNbxrfpvTiEwod8rFxbnbstfGY3gTDAdZjFR/Lmvdw7lra2BWrPqsz
aAFslPk01338JH2/3iQIAV6qOHvmdmXmcdiluX5xPpauC5eW5qc+L9SrmNN1vwx4CWytQG1tMtZG
zMj5uy+bBTBai9OPySZ6M6DMfAZ2AN/GsQUvpBFZu3V1yz71plg/qyYTOy+FveuHkrRLVs4QqynX
FVzfM2gYqWOOe1f33bH3Rh/7b8Q1S0hnsfO84qg8TMtY4FNbemzUmX9s8lmAacDE8Kq2wWAjkCel
0wVXWIRGUCawOY8lDHaprhgBHsvVGFDGDdN29GNvi5qMmTPJtF0FdfPcT0QXJVPv7HWbkNKwJybR
YalcvO+VXCVuirV6zVGTMwv21jYrBDkLVMBeOzl2D3bc58cUCykrPELBIHdtj1+58cWBo10mmtKG
jSCoUwucouAM+g+0YlLeI3e26TQ7Rlh49ZfT1vFGOXHxoxiWBAoFyfCrKOA/6AOYblMVSwJl+umK
K1xHiVQhhs0nMslSW1Z/xST/LxbCY3r2dcItTeIEHNNyjHtw9f9bFx99/kEW/1n9+cf1M/ns/rH/
nL6K7B/I5f8RfZaf1b/+iI/gfyrm/6/f4i8BvWv9E8E4CaGG7eBJ5p/x3wJ6/Z/o1x14Nsu1dEQ2
SOv/S0Bv6v908bRj2MaNYdribhr6Lwk9f6TbtuDv48e5/5Xe/5eG/m+Vq/zDPY8QU92wDAT5jvv3
Wlq25lkm4l4uN7+OS30B5twm2xRj4T3xkKslzJyt3j9Zr2w//hiu8rVvWcDL91gNURZr8JuE7+Xl
Tz8mY4yANBIPRw0ys9tNDLJxXx5S79ei7AhORpLV8j6S8ZnRzrF0ItDX5zvmOZvLg5V2W0s7Nt53
p0KYYvEymdfkT1oVmKnPBOAF1XxBSkiS6XdZiTDvTIDLICM12pEDd4tuIPKrooWYsyJddqUA2RQI
XJUtt2SN4CzsttIYiA0ei6tKf96LtEQ1/9L96rUf9EdkAGmUJS4JkRZ6y96VoV39HooH4ZFTSpYV
e68kaJS5ukjZdEAnXPNmSEmw2XqwrG6Ld3uPmuyY67R3iPJsKYQSfdM8YN8EQU9AdjSNwBYuF/JR
VCNlQBzjFyA1Y1xr/9CBNfiYAMoJi2OBYHzfYkvbLvYSdgM0qeBiyHvGyuE2COtqxNbv3BU3VfNv
JRySqFLDfEMa+Vpr69Ys/U1iE64l2enJxHDx6NOQGiRpdkvKZgwQx6Eu9LJrizVYqn9Tf2UYf7dF
3N873aXrDx8IDpG/N/Xlk44kq9ZAf9fyFdlzHdp2f1OTs085wh0TkVDhCpwBoHHNg1OqnWPYp6H0
RoQW1hSUPUhUHPtwUMUeB/Q2G4GTJVVaY2zdrKneKuU8U8AFZUI4S2tlp7Yirdne0R9/MpatgdKa
jIwAkeSjU6R7D8KpM/zrwEfYLNm33TlPTv5D49d8X/GzrtwSXL5NSHDpuoE8ViuqZX/2fDcyVR0l
nUZUt37jmt9Oln1bMBAIO7moZQx8Ve7KdHiRXJk8krvVP9rGT+FM5LmNx1asV70Gx9RqrizXRVDq
81TmS7VtpuzsIehq713ubLGl96scln1R6HtcLYQbab0eUoF0XtWwoWb8c2kgv6oxIA97ZmNk0teM
5chx8Q6NdpXVi9l1RFXZcOzzS6V+rtJB5ohHnhJ0A69+bI2BlhYfqHQ2aWPshOQRQee1xWuzb63u
zz1sJpjK5SFZ8D2Tq+JEVJqNJxSwLPXrvynNNP9Pk95fR6flkhfjeaZOIurfbIZrDa/fzVW8EXX+
lWjje8yvL+6Mny2RMOvUHQ23e2pjksTH6SHpO6ZYdc1QQBo5wYRD655zx5eR7JsD5v2H1AT8yoan
3vOrKB3yGwGV341T/ZunG1fo30w/mJ9cnm8OcC4YQ/f+5iVFn140kyFjkNQOoZ1pHeP83i9ShwoX
a9AVDlhg6u2I7MdiKvYEjpSQ+OOnSStGU0EHkiMMdsUg2hLz3bguzyz2ARwggMrSDExRXJElw/XC
5BTqlsnxudGM19Vi9erMP4mjnglOIV7QG6I67YBbM8bHTgz1RtFlHmST+a2PKZFdw6CdrZIcEspV
BqDx+SmdptsM+dWImD1YVJcUcchWCP8nybUkdubTC30aDxO2CniG5rvSZLpBIfECmvDtp3d9fSa+
hVY890J+lDAMHaJOolG/myLbpYo80Yp/QdJS0WwHK3GhQ+q8zTQwWB7ZQG73a05ZlzMPo8S8oWQD
AC8EsKX0yHmvcPnNWbq3Y7UpneGCbf7WD9wejW5G8j+pO4/lyJE0W7/QRRkccKjlhBaMYJDBJIO5
gVEkoYVDA08/H1jd01VlPT23ze5i7qZqkZaCEYD7L875juvtNMFWGNnlS1w1P5RucI7L25SoH0E0
0GDn06prUb0DsTMRBSs4bpbKr1RTOz2YWO4zsdHLK3kWh9YwV7bB+x5bzMPcC8O4fUGr27NCMVL3
mgkDPht0z1b31njREPRZmyDUN3z1d7pI133Xc8tEL+mgdp3TrhunXFrjSS/uGn9a17OA10vZ2sCp
qG/xdPVtc5kgpA3bI1t7PEr+S8VHuB2dAPmqLzYqz7ZuMq3DnvazMpuvhCw7hoaXVpcIheJXlU3N
wqvjfGegpmXsA8Uxtp3mJc6chyKYeaBKMUvsmf2U3SViPkW2ZrfQjK/Izfa+5r1IxjEQbD5dbFEY
SvMFvKy7nNeQGJji0hCLYEzWJi7Ka9Yjbg/iozTGfkWbtlATXEEtFfz+Box8u6njfsVanDVKcmPQ
szOHYZe1IQgTXAgLv8l+mGF+C2rrbqjM57Shn7fsG1aPpyFrmzVP9V75ztdkmEfaGSaNdYvxSARH
Oj4kGg3LKvJ10rUlpztIRQuF5yFTlBfQnd4k+d9rRoKPhTm+JSqcASANvCMWviiVgYF646WSbI0n
RJFOGS5MZBFasmdl/Aw+ihGTGJZGGD+J2r61RnvUGQkhH/cWWp4ikWE70g+rQdcvGZiMxPKfM3hj
bpUsK+k92q12CpLXSbGypB/x/PBcd9GDmU1rAAbPMi6/psiYwZ/LYUAeNZov8Ky2RTPtK6Eefe29
S9wvb9J/DsEAWG/Ao+aBtTfYLzrdMrCsR9/7lTlcGd5aaufKPZeCLuA+bxEJRhcgRgx2kOZjCIJY
2MTuj4ykCGKCYIA3y9w2Fx2ybyP+lUTjNu/xHdU3x3tibsPsS7Lp/fKicCWM1za4shXaolZauPJB
yyoYkP1j0Ro8LhpJEo+DEeEBn+500nyAgSCAHXfY5ve49gmdXScRpPoYBaR9zxjHY2WeOeatAXRj
j7zXiXFzvUuGaclJH0CT4GRLwhflz6a6yFoFSMUglWTtF+PYZVZ670i2UpB59btW2jugPrskEp9d
H7PD9LA+JgTRjooMAcvrVwZWSUjZ7h5fITvYDliVG2TP7DoDUDOj/NQAvCB1c1cg6twNwRpHq8qf
EJgiCYxRgiTaazGOL0VCgNMQXyYfMnFXVtHSzE25B2uWrqG15WvHhkfBNvKDHfXWnZxdg+rPzqJq
qbuUUwHCSk0qtsV6ue6BbWRx/9agdG1Zxdq9L5astbF4Oe9Z1x2IiviFUfTJI9xiqWJjF8djsCpq
ShPPz5K177CqA4CzirvmKTXZMgsWq5O8Y1vylegpuCr2DvaB1eVKFNUp6UtOX3lCs3qGPrd1TQW+
xzeDTQVcdyF7S1v1yotWjYX7ppbQhdKE8cn/CScfAnZLmVZa3gV2MMN4t32K9OxWTQGWVQZqPA3+
oxmKA59NRA712C2M0h8XqKZnOWLbIh+aNbWZff3uvf4ftKP/Gy3XDJlm4/O/ai//o2rzt4/wLf2n
zuv/+gN+bx4957e5Z/V0F1SNIAiEzvV397UnfmOcJnFS/5fH+u+9o/cb9Qj+PMvAWysdg3rq772j
/ZtNw2h5/HGObbLx+Xd6R/rRP1dAjIXwPFs2WyDDILJE/IXboWgixsgI0dRGEfPTFk3fvQNNplmZ
Puf2YhjaNN5lKbykhUNiD+gaN2/VqnDQ6WuujNc2CpL9FObYqoSeDO2iGyL+WyNGfGVE7SEIcIex
IhiuCg74bHDIWJUBrLRnF3wuLAbdNFxj+YrNJsxXhYhy9va5CBDr4vVy1wY/wXPdQx8QjdPrCxe9
G/kSiKzYnL7DeU1405TkJdUAkqcr+LAuo6ne6x88vOWzCpXskaUxzK2dApS1hebfmZwyyLguCFpB
S8gSeNFytFCk54y9HhpsrT7pJp1DjRr3TICVpmqCKtxM/wojYmzWKkB5wnpNk4956Mt0yysf3JCo
Gu2WGn/8QK7bXEqMFqt6gHhHH172aDQr2b2FcMf2+OHps7PSjl6lZtc76n2X/NJC1x+Gni6xzwx7
L2BsLIi+kvaCJbhhL0zR+0+NbYw39iwugNnJYCZl6NBeDJeaczYdJzZAvZjY5BLjzcnIRH/qh0k7
mrhztmqS0XRGfN6KK2lFMPk5XFSwIQ3G9F66Jlf7UYW1gPqoK4YF2GHVllxyVDALPGpVtFd1ben3
7vy5JGyEzdrbxClO/ac6HNl2gYkEBm2X5c2ALU351M0fVrgHLzCvg8p+zR8jj6YncTwnhC3ci2FA
c5YRCi/u6d0D6hxIT0vGGmol/BypYqsPj0i5vuJRYYMHSrXskU7sC62FgFv6mOiUMGgASQ/qRn86
e86cB2VGTAEn2WyiRIzsxS28M6wNerkyASlfO2+AIqcBZ4Kd4R20tM3W8MSvdewGZzPtXgxcBEsY
83foFMsliqRPkWX7vKv2/RDkWy3Vsy3OVmM55HB6zanJT4Fh5kAQHfmYMRTZQ0tFbmlKPjoFhTOT
GfbOojy0trrDzy4xgshkMfnuSQqUIayriRHoMnWH1RdYsC7DT0lNvnWhHr0ARMnPnZlYu7ZD6AWR
bFxoHr0BgkicRm7prE3yUR6dShbnKqeKkEhu1pM3X0NDqPs/gnS4Jg0rXkYxwX5s0cYox6kOpR2a
i8gjAx1ZMTTGIn4vRGxeVSFopQETw/M1/DlzVK5ljndGMNxadNj1I9G0J5XaE/7fkEDuWS7/lIbl
hct32w36RH9rsQyv4Krf+2FaL61pbJAeRwj/YdoWlrHtVLUMxu5RUosvdEdjyl/+alt8371oFhZW
VZgPDbUQPrL7BivVDXVguwr5lQWrwvwmQYByGJlPEu6byQ6PFtz/TAXR4m3uXbRpAtU4S9WqoqRb
ctqZKscyydOKGbv95eTg5LMQQzTo/bNZIvrSMjwauCmCxZRCYWMZXG3BmM/U2sbZEKGH5DfUnEVe
wwtGxTsse4f+IB2t6abx7yZLktYhTKXaEg3Vn9wwMWZFDRh2q7jamNwP+BxgtOopWQl95axdOch1
YrIeruoIkKtDABQSvwlVJPTF1ZjBmQCIby4YG3cwtehWdYYxOeS3VKFNIhpifI7iBiyq6SO58pJy
baN3W3uhZX00qvoqFc54vXXVYbB9cxPiiMdgJKMlKS/ZBe2ITZdZGwcEPMl7gcF5o6O65Yfvrfwi
Z+wrJFJ3x5PASdhoer22RuW+9J4RfJZJ10f/A27Gtv7Sn7t05rotTYauuiGZL/wF04NGnZClUA/3
rlEjr/VFP2c0RMV4X+eZ+aMvGskZV0TJqjfVlC3YDuVPudLGNank4pPdghffjUUvxDoBtb7TDBsv
RTV/+8vCFVxTvd7T7GHMR8pjtFEGt4Mk7L0Fp7K/H2RaVWQbTz3QaTN5HB09JwSAcKjOOjKQck8T
65RL6DJKlMhd6gWQC5BqjdFQ9ZqGZgOStV+SmsFNlxNnx9hIY2ulsxElUsCx+5PnJ/W+751xC/I9
P06BNmzSMCWlCx7ZDvCyd6BSo10x0FQCvoSb6/nNsxdrJaR3FINV67FTLjoWgA11CMhzK944A/cW
XRqduZzKJR6mady5dqWhJ2NH26Vb/AKougZoxjvIy1Z250hsdF6FGE9vO+2X6zjjoa4NuU+Dgk1P
JXXtMUmIYB2KBrfFWJuX2gyDq+pH/ElVsiHvDVBePrUxegpBf+dhBXaxuNxDA2YeoJXmqoM2u2yQ
OW/QHGAf08dmXQKg25iBew2xPi1r6yf4+WPnNW9FI7ZtWFJB17o8l/F711WPnibcu0LgHLa0qVrh
u6wfQz0hyaTgg6PeQNanK84V2HS7nPS8N6EsY52loAFbB4SJlj+ynIvOoZ8xwMOTivEy3DnSt/Zc
K5gBGzt9rpwSyW9tmWo/ofdC3FzW3RoBtEYISZXf4nGoV7pRvg99aDFnJHIJxUG+Ezyb94pF2pUR
w4cDGPmRSL8KAEXbnusGGeqGGrtm4D5ZPhrXVhAckHdgXT7TUZY3fLwQ2dzE8eTWkx17f8T9Boey
ZQ0v+DYFUMFML99Gw05eG59E36vlz+iNsXSIPSdURL0KMwjPSEjNM+5I+70HSbhIyq5lG2uZdKth
UsPWsLt+mYvG2noaCGwnpFXFfG1fTRP2KtpEWn/Dy64Gqc/h2gmSaWul0LdSkBEnRp/VqYVrSsZK
lAc/mXcGj7qEUImElIpA9dzzLSoQWw4RQlLNfVIJ42tSYGwmZxxKXCdDIHa9rtJD1CvN4NsUoY7P
XUse+xz3wtJ1MVqs9SqBIZCkrHiXBFL39ZrDrlSbZIBHGHBilYuhmkDbYjAMzlkTeHycRsy170zT
WuSaehyLOHvhapG/WqQFO0qvhnbeJGHKxKiKmzQ22LW6bb4rR2/i9COPaoDsIPJn24qTUzIm5rmQ
hPYEbF9vLca/pyiTMzXWDx5xEFLymHqVX/lnJE9imvh2VcTVNKGOPNhu3x1DJRkpWm7t3IUJXpxZ
2Wetbb+o10ZlvI4Ahg+hI/p4oY9JzAYxcm6j3391ZQumT4iuw9SUb4wx4uoCGmBtE/J5flbmyALZ
H1os5aQAZW+1HnZX+O/y5g94OfhGO7+k74PvDHGSWLvOzcyfzNjgapqx9kpgWPwI5t97Ix9meBJy
yO9iG6fVYsgNzD1U4dZOxjrCP3QTLPq/I5Uic7I/kKHGOzbYDTFFw4SZ22oTWkiBq7xfyqEZf+pu
pZ17vcxAoPixCUs895MjQSGK6CKnZxNtdJ96BiSed652X37PYiKnVzOPRWIEdBqGHtyMth99xp1D
lC1LrWLf1HBZvLpIJ69W7yboCcidQg2KaeEPgU1ot+AR9AwSDhx6dbvSx27AIeurme499MZPhnxj
skPvFb6PyAb9JaL97lQS3bJQhs/05PdsJ5caWydgdJ5lcbxs4Hs7n5DJxB2Q5pZwM/TzWwcr2nNT
heSrikbUOwuAz4+8tkJWPLn7Xgyiuc6we9RiPJI0TygueAgCXsKsiAnNgPqj5BJpjn03daXYR7hI
6H+GrA8Y0wRZykiHCKnG8qanRo+0+xHsFFJHHdkfFr5U+0KgjE6jzgwvBQmkW+fJi5DJmXAtT2pC
6TeFpvkOY3asNzzy6tfYBMlefEdPkT8R3HLCWAACoyzet/QbXwaQ/tXvQVT4AHOxUpEzrH2tSzrM
EIl6Flk89UstH8jy0HRGgrPcd+2BzgqpDmrsj0k4Nce6ir17VA/eI59Pfu4bQdVp19Vr9tdcqyFS
5WtGvKZaZG7TVktfg/Yjgn7YV1JDKoJnuYdTazEbi52C5zEugVxIWUb3bWQEO6WRkgKVFN5rBbO7
ZmQ751mYcdIYSzTnDqZDhKEggpCGLazC+YEHeXynjwGnQRgNriqVjzbUBz+qztU4jGIZNd5wGav+
xuLjCh5GPWWdUtG6HXKiGyEhFJcuGcJdNxnWmz1pDr80ps0Zx+qwV8hxyKE36lurzPprCHQ3W2l9
4V4Lfciuk4yD57FPuYmSjhTUrMLrsZyIL0FSynh8QyHMdLLwwI/gswTt8h3XFZnhj6qzjQPU3aY6
JFGqx1sCcQkUCyq3P+deWN3jZSGhIFTTIw5EwPiOrPeO3bmvjtCHa0W5NazEoPl7WiU72MBNT/c5
9SZeUqKPV1PL07k0WDk590qk0NB0Bh9LwjHHrc5S7a3DZ7JvlV6cdYGKqfcc9H+ykiwG6JaowEIo
GUiDlDZctKrPSEC0+g/HDJrPoEwZWrUxdGqW9N1csXJOvNHOMqanhf9bpliXawYDCKt3KIvi8Tno
8c8s+IiBNXoA8Omly7CvV1mXzNJ8XmzCcrrJXGkOtlpWds2TtNJYMEEbCJJloJwH20BDkS6EVCcX
UeA2VcxXW7cdbgBw/OQ+0zLsOB60yXnjqAMk4Dw3j6oZSMsrUf9gxaETjraDkiP1hYN1JPWoioh4
MArYsSVkfT1lK12qJvj4byLMssqt8BKlSGnN3h/HQ/+dZuY6JCisCQEZf5YeZRuZO9mPAaHTLyvp
3b1OxssLGQXhs5d3LapVQ++3va4J4C6y2YLobfcjriV2Jnn7lYh+pCM2Zcz6P8vTYTnDs1ej8Guk
6OzSuZLUyksgMXcwelaE/dHmY+oidSxwrA/pBOQJ2F5pPU0eO5IcsdEi8OyDE3VyQ2IRytvam67d
MOrnlOnMytDIZ/b8ehhJ7IuLxxp83sd3XlpkVeqawgjmzq6xhbZFo9EvNqB2J4ZS8M/C9EV6WndO
Ezk8FaWT72kd65hqttDvI6d3V8xY/VOd6tah44V/GhtK/0pLx13gwAwhFTr/Ql6a31tGZT3x2FMJ
x/IgotrcD8JvbohU5TGzxXRkNzbsQsts923AsiFrzHxrJHChHetKTV499M6gjuBS5F3YmsUusSP7
VSd87t034wAqiw6qNZLVyp9Ecle2OYst4vMYUxHcV2eQPkDFwhP1jeDLleEPf9BSaEHlGmCTuaW2
6wF3MNceEZfdNWXz6nUTq8SkBksTehWQGZWsXKA9C29yX/DdeKc8LPu9VUcfwnH8eVqRrM0qJgPK
tKgHjPbwHQdnEx109N0YRC3wQUIYyISDR5GfJomc/zsYjtuhJi9UNruGdJSV1rjxhp+n3jgR4ILC
23qQPJd/GI7+E7jiXyGPdHHSJQgAxYuQ4Bfsucv7A1pR4/jNew6SPSwC4g7zuUpzzSI4w9iS/dLi
EcLPzCoHg5KJFXFsnX2fmaBM/od/iPlnOrHDv8TB9GzNs1X+Z/5131u1vhoylF57dCvbuKub99Az
++mh7KRX37vk4dqXBPO8uU6nrGchU9D/2W7coErveL9D2T33g4E+k11NFWwyYi9ZtIbAy99sNMlk
L9ea9aIaI714ns8nb5vpzYXlyFhiHshlAFLe8f7nOSLHUL0w/tA2AyHSV6PrtY8q9Cm8Wzf4gfiu
ddDBBdGtiUy54IiTJ0+PGAq4nf5CPAwPShQODzg/Y3fFJNbDBKwnRxk2JCSMBRatzgzue8xIy8at
mkeEweNRGwbzRHID1yEokI05pDfDLPSHBo+q0wt3acxDS2ceX5bfk8yOrSWjUi0xwjUjV+ux/B57
Qg5gBOqg//gqvwejhlTOp+PaoAzIyn2cgkm82KauFKZTqvxFOhfsQ2O1xioI3GgHhnj4wQ6a5zT9
ru7Fd6UPJY6qf/juAKIuGT+svMIQp3fuffzdJ4imMHf+wI3WzOFzW/O7nWCaZL9FUzQ7XjwSU3zj
R0BS376EqY55mg8+mVDWaLE3O/zmnqX7bl8IM4PlMPc09tzdEIg2bf1waMK1O3E/xwWGb0BWdERz
b+TOXVKIeXxVYfjdGqpiRjlPRIkap7NCSkCTNcz9Vjx3Xt7cgxlzNzZqjLcVxt5xySyHdq30QmO6
2ladvJJoWr5ZzqS3q3xszOEltRUfklWk1rmZ6C+3vURgzW9R5a3ySzv/BE/QRuuQ5I4vNB1AKf/1
a2J8D/3/QGV1Gbc4bCUMy2A/IVyDbcgfX9gWaS+YXq4T9P2kB0IVvyt6AiXqCghDnununt0tkk3c
t4geq+LeReh4h0cPJKhm98PBbgLFNG3SghUTgLyceV39I10PTj3JnPRWZV3ZLYLIVFcJPXNRGoS3
BGPUr21nuMfXeN+nPZFYWS+6O+FmDaQkc/A/cq0xN3ZU2kAWVPJgeBBv1GDHBxi319IM73PDv3jp
IO4CcrCZAOMw1YMr77h51rPpRGPmLW0NYwQnno4gnHkdrq9KufYuxNDRLRqbApW7Q991pZNesEHq
F7MQnVwX0gqeBAvEbdDFyLKGVsMfYhY9sze0qmcOF3Vxq3rY1FQyDXkJpdaD+TK9bm0NaXLAi5vh
ZBYVyrLMLudMhFrNBTOGAsJ6LgbL0mcsHz5LTlKn8HymK08NHZaK1PFfQ7YKr4M14s/qs6LaoOEP
t1GmcOhgJnPYWcCiwxga7HLX4pWTdm/z81U2FIAs7j4z3/O4vlrd39IJ59FqqL0xXoVGBevAaTtv
Z+uV/+B3XvieCelvG+QMax+42uPAZIRJAUoPxOndIY1dEkjxV5wZLU48lRSdaewNx8QLtZ9eDr2E
P65Zot3KH5ModolMtUr1Q4d9tWwCk5zDvmFmxiYn3Nhty5U2WQRPY3x+xQsVPWlhbTyrOMuBzUx6
uCw6xdE09PED5FqIn0DjjhanFBwJh4QVdg3rPgidC0GD8Q+SFhJO0dCbrUZ8MocI6Wa6zhobPGYy
6VubaAneay82ASEWV89j7YpIhtry+yaawlo+2FoVnPqJ0DbGOzoaqtjMG/eCUYN4RuDe1VZ875ME
wS94eb73TPq8cqqY6mIpKedNlF8TNLrwojFO1nZuvIvvrRWCjrXxvcmqgRFv4Js4z2TpsOnKDVLj
FkUEqBXhjzkbNeykfA2Y7kU7UxJldZ7KUujr+R77lG0/gKcdDJfd+bxti9E0t7BeBv5LZ2DiIkWG
Di1nitc9QuW9MlSD91FJmmviahg1NV6cxLvYtTH4jQwwrFUVieJowpyJdup7pjvM493EEjeFi4k4
ouAp8aJbVM0viIHmZXCig/KnCb+752xKUbTzv7pmka2L4xCyIiJm09qVyVi//euDakbA//mYEhQW
HFJSt02BBPbPx5TOZD5hJOrsvcA6B949eIO7snv4/kv+re31CfNRURdfzV+Z4X/CjD/9U/b4/84d
9wzAZqn830uoT295VLbVHxXSfF9/+21/22zDFSd8XAcdjiMRsDjT+b9tto3fPM/mCrEtaXggvvnm
/r7atn6zPd0BUikFQm6+vX+sts3fXGK1GPmbJuBzk+rt30CLGy4C6z8/HrbFX+NQjSGxFhAY/vx4
WGA6So3R8C6GMLEbmRIvA7wHspl4g5vAgNeIlSdh7L6VHRy1IJyGH1ndsH8S0czPUifyXqbHgDCX
o2P03WPdSdCbmYIXKeZkIsnOdSj0DXtc5JZh5T9Lw81OTQLmq+KikXSWR8S+j1qOSZ4JQ/iOn3Ji
XxdT/3UpWXDAn7AZgZJe1DYwZ7jVEkAvjL5VCbD2yRtHuMN+A5utx8VaxRIDtqVGfZmFRbGYdD+G
t584BNx70tp5tTdcWWOGt6gsf7HByh3iDU32awAyfsINfGdZQyCqlIhMiWZPwjQ59lyvq9qU9SqX
45eu5YTptrk603nbkPp8YGakkZ889o5jy3QJASD7vMgallPVk6imMDQkYXTrBsRDMdvFFOFVww9U
IzbtLXOvQxx4jsk3z9gtoGVhIb2seURAQTVZ+aj38Wdv1ZJCzfeXJiTreil0EJBurf/MxMCWsPbz
bguXlBmfJ4NrBwYZyK527Vq0SF1qa9u0t/x8VUpff2Bg4BIIB3SB9LNcdExQAYPXS6PXEecmVcIK
DWcs0XgIoB58Y8CRqyROd2pNEBpaahu7tGQ7ixY1TY/lkDbxxp+MBK7SUCf+cYp9jCihq3nHjriT
lwZba7WvlV2HWw+150E1FojK0JsU3GJrtBXjF73zl+hbU2izmdQ/bPhgzzmNQMcdxZYeQ5GiPOwy
uBFr6kXvQrYle3xsSgBLBBqObtH3k4f8AR//jTyr6jTRAzNwLGJUh4HATx6CuxHkk+CgqZpUxwGG
oNRhWnBvSbMWD2PCTgjnTq0Bn5FO6qx7KXw8AWzE+kfMkD6bkJF58oEnzKRWcAMsz7WjjLOm9TTY
ZZQdHYyUwboZy6rcdraq+c6ZSx+aOiGfsBcVrCv2TQ91F+xdRPQLw+qBnoG5b/QGVA6d4sJ0nGAt
zbOry1taOxeQrvoqjcB411G1CxtoZFaln9KS8EUKrEcc6u9+Ka8UputRkIYXkfNmZckp61t1Fwf+
ykwKKsKTTVm5gKCWoNadlk1V8JUZvbVqoEDuAzzFl2g0tV88znhRATx1+gVkgwZU1X3QZ8Ng0Q+I
si1942X4VflRv8zpIWu6Ve3ye4Qob5lmxA+1ru/ZmUervsK1Co1BLo06BkqfaJ8SdMPVKzV/gW/4
4kISq0d8TwqcEA+DG+xS6jow4OFTZnYhk3xs131qMr1kzbKwbebT3shiT2RFTRrkRKQoxt03Kdlq
KWfL2DFk4YZunPp0LvXw6qoZXc9gXS3pRwvWpHlx0qPY/umNwdVIM1gn7A8Jnk5LXhk06zKFAmui
+6L2cj4mOdVo6se1cIf6zsCHRsKru8e1QfyB5Vw5+k5BbAULU40G40Z309BRjXFKiCObqK3yqm1W
uu1W2vpnytxoMdjjryDx8YP0bD4naWOBcJ+0qRO/+sZN3tsp+PrD7fRPhgzGtxPhH9WAK+H9CPIk
BJ5vh+2k85emJS8H9uIR8AstIH0hzFBfe1PK3DoYSus+LGzeEm1qmcNYzFoQ9w7RLYgL9sFD19k4
FfDLcU42Nm+dXfjeJTbKdi7zYfjxXEYuYa4kPHRUZsn4XFS5+EBqwvssUOlSwZYzijzNpspejUWL
sWUoKyCyImwx5wfUk+hFLQ4L5ljHboy7bmN9nyba98kCVY9TBiUs3LZsQFbdNqNj7HgvGcJXVU7B
prNzQkYQPzaxNjoISnRnj8uSY6q3gw8shcXCaIJNSXcIcqHe9Gw38RlH8wC8A4oY9kdLz49GnITA
W+N4zeJrWLLmwwCckWNNzKK9oIV9nDJkFzHH2Z2d+9ZWEUpBllljLdnuMG4dfEybuXFgQNH8EtBp
GEYHxVqZYcqzWitoTnUi2oEBS4HbCIA/uHV/4m2x9RjHjUccJDaSkkzgazTicDiOlPpLLIjWIrQG
Yz0QJr3UFcJYGpb8mWTa6WL7tlzUenaOiio+joGQFxYe04C3IchfORQY9qN631hFX6yYymJ9ymwV
37NCcz8D5g441OOHCvzswdZJYymCLBYnXYrknIEGYcsC3yZeppBDojvoxPYxHDTnnq2atnW6UH64
fqdtBUbKCwtXH9VkEHz4KuJtZW3R/hytOYTA7Yx732r1B0jkLJuEeJdwVnb6UBPIUFjoSo2suqTz
0iZC+JJmxQhqm9CMvp5pPVp3dAPlruyhgi3PAB0+zCqqhLtQzXhXNtYtDKZhzSf3wla+IJ8UXnHB
GnTNVnmWc4qnzCPKIWmHHRqgmHuu3EKw/wx00W9spX0oM4bmTk7PtkQ4b2LHp2O6S+FPwEZ98QNz
xSZq9ka+Y4ABVemd9Q6v9NjCy4TZ+pmFgzgnyvxVyMA7JW1JgIWjVxt30NxdIZo3lpz1IXRFt6zt
JPwk6qQ/dLZbP2SFMRJubM0AN/rIbGaKdl39QbGIi9syPzuZehtEgvYSUbALpTaKjpIlJR7TYJuN
OMNy5Z3iahqXJkOUdY5xeGU6otiYs8dVtQQIdFY1Le2yZZbSpUuPLzuRfbxu3HJFlbApyro5TaWo
VuM0jltHlvUyG4xrFfjDKRUi2huZkd+xE4KOUQugIoMjHhIrry9A0dY08tGekWm6DMjoQ32PEf5g
exZUYENLJX7RlM6uFeVXAqkc3hHectlOxSqr2dWZmcGvRhahxmYCRK4f5mFya4z09E6HCHkYjRdn
nGMSuyrTb5EVNc+qkTpBpNDNvkKfFRdEAKjdcYtqeGEZQ11utaol3KIgu5c8W+7oar6tk++Lu/y+
xAlz4UI3kRNFO/f7ou++L32ikykAZk1Dvhi+CwP5XSTYc72As7n5Xc3zbzVS/7xF+lMX9X/Xa/1/
FOJEa/QvO63/qOu37I991u+/4W89lv0bvk4DnAHtPR3VnAf1e4/ler85eJbw5NH+zl0Wv/L3Hsv5
je4LsTHhTphCaar+0WPJ3wRDMc+1hWNZvB3i3+mxuFz/1GMxVMbtxd8E0pBgYv6uuUX/w2i/CJ1e
D7WakWw4UZLogxaKdYtKLd7qBSEhWMCn9OJGPv4XjxCqfAlSu4Gw1MQwxsNmfvAr5F/VakLus6Ga
mSzeFKstoA+2Pj6LER2Py0JuzRhT/hoFdT/tBS8eu702BTbG6yjnF9PmDY3nV1VGufHgfb++gH8R
52n53WB40b6eX/PWkFd3fvH5BFllzodBQQDCCW3hhujTVTwfGJZtHhwEwc58lNDlcKiM+BiN+aCZ
KrfYOAySVnI+hkwLMHjByeQHGuZVrQ62csKYOh9fI+6jVQyWn/AORLIFpxwQAGvZc+4xEXW3yXwU
NvOh2A7+uIeh3zxM85GJ6iX89JSN4mYU9QGlzpszH7FMbjHAzsdu7/F3upH9y+8ccW6YB03zIc2S
jclfrJ1t5cAjnd5hSO01zvWG831Q5hGy053k3G/G9pBxD0R0QuHC4W6QhYuHktsi5daov68Pe9y1
KeI1ozefAo8rBpjjtLbmayebLyA130Tc2TimnBuT0rt4vqxcZ9XXfbWM2oHx5nyhMQTujmK+5Axu
u2y+9sZIbkk5ApjDlZpUZYXScr4mZQDQuS/lOx5gWOWVrT9Mpm3cj61FIgKR1z+z2uDWLexuLnps
mNuQfy9JawIDoCX/qKqWdrBV7j1VjXM0qUW/Kq9htYz+SC0KAiKO0PH7uypM7lF2zBZSqlTiWQjW
DhjpZnWBgDRKG0SNLfQbF/C48g6YkrKlCAT1/qRV5j2gGR9MgHtJCsKse3t6dMPiIXH0rRb0/8ne
mWy3jaTd9l3uHLmACDSBwZ2wp0g1lGQ1nmDJKSvQ9/3T/xuuLq2s67w5/2uQq2pV2iRIAhFxvnP2
8e7mLGJkh3BH/3fLUdtMAnFHMqvaRM70e+rE404Z6ddMdv1147lHQ6SzyUy3SZjUdBQ8YU46jSYj
8cqlgwDvOCxcqtULO59ObeLdWobt3LfMU60zQ8HYBxyaW2TGJiMCL0x1ecc2HW4NQa9BA/L2GSys
4p6L3aQlpmLyZh2jSEYJGfaeOchga3Jm4IKNWNzXSnHUjyX5Xap3ZE7HhDubtEj3FXPg0mSwQrpa
EXeZ2dm5a9bhwNsEaTAAqo0t8FPo/uG4yjWbw7NhR1l76LDptutQJA3FZ4kdlc80VJA74H5W7bxJ
MrXQhMwCqbdXOaiEEPwTpVhswE8BUcuBbYaDBUDDTSPVJypIKImTGgWN8dHMVj2GcrozG/rr1xqa
Iuo36vVSWe0rxq2+hmynmXYW+1C6ZK3YkJFhbhGyw12QGap5L0QfZuvCUtReWcUEdpI9h/PVFHp6
ZoTZXfltDHsSl8W0IecXVUSjxrA4UAzAcVv0Bto8WJRuMZektNSBAuHD8hJjVTNA6HgbX5LY5A5h
IrcSEVjaJM4zDOe6/T4EVWGD3h4GitoxKyd3Ls61eDezz1Wo13i8b8Ik59u3MRswgxipXRH0jqRr
0AnYHiYNvWlPbM+zjm6FAPB7VRtdtPO9BCS7yBT+VLu3wHn4XkR/Qhfe+znHSwikvGBXJhtYzj0X
WoYeToJgrJ1VhX0mLeYr1xDiK4Pw8BqdqX0b6P20cZeMFT7Ahi6oUM3xMRthhSiIgg4KOmS05jFu
vcewHV9UHo+bJq+mV+UMFZTYML3I2OKxF2nazvK8fUDJL3ZsCNWrZrBGyK+156+WOb8Pbkcph9nl
T4FRb0oSwUYTc1wD7X5y+XsZ0LbIf9g4xqHPzm3dJ5JZRcAnSgPEUmRBFe4qBWZ4O9WptTXCMej2
eihbsRix6mEr6FofTjy1n/rWHunpDav2gSBmKu+DlHTILuW0uQGC54JDyUlaT5wVxnsnRaY74PDm
XG9SNfaQelb4briQMUm+Zk24UbUdPdY4WvqvwGyw6uA84IwS9hGqCZGIlRUl0wEkz7cxjANydvyW
Sblpl8OYLucdXg1KGsamv0Opim5tg5RETzbzWskOMaezj0HoxhcF7QegEowTYzY9uHDp+EqvfXlB
/sQr07MJf+RkOV2moM7Su94vim+5dIgR4Gw+Bn3mQW/o8A+6QWRdDMBtK0+0/i2el57RghWrbxpW
y3MaUftD3ZoTwZmSXZCssXCoD5XO1bkkTPARwEPpyGsWXvpIpRIgFg9CxFpIN8REWphxSnrVpSgn
NkLzJuHYfV8UlvtMWTEyJuYAb+fbUK7PFs1OPBWmcIuuWT8SuC/1ukmG/LvwVPHR0yb0MlSCypbK
Dv2N62RUyIAlAyQVjSCUcOjIa502RnYN6tp+JCdfZWckApUcIOnbLuBmo4+3vhmqF4+8rUKb8zmx
lsFyQLQS+70w6v7iJkI9mkWenvMIXh1UwcD7knKO/zp3rCDRxFN1xVxdv7i9YV7EaBG2S6cUsvgE
nl1hdj0EAB0xsTkWdRiiPfa2wECnbYY7Tod7h2dEgXta4Wes1rMx2YJMx9x8GUPLuIHhBbFv1E2F
FQdCBcNqI2JsA9Y0ZwLXV8TPa9gXa9iXU0rcoC2uGiZSYjdL2TiXOu7TF8RpfnSF1nIpAekDuQHy
S0GVn9cSDzIxr4AOFWHUBxOTN1wgDf35AoXQmG4dF6DmxTAn5kNjESN7GsAcFcNYDzNPCf5Hb4Yh
RbjKSD2QIVEQpva69h19jnIDK12fD/3Fgp+ur+xydszzEMcz9Gc6yNUa7/69X4wlrXloGt09B2qn
fGJevx4pXoJTjsdFgB0g8sMt78N9pkCIHreEztL90Fb+I1YA9xKzcyE/FPDcd8dqiZPN8uA7atyU
IgLngdBxK2dIUWDnOHXaIdaaCTzixoib+dyQuyJHBeHzFFHzU61LLMZM9pu+/n1UbsXxaEL26aR5
00wM/6M6uDe54dfkNIJt6+L/bZj9vyirq05ZHOkvcVO1a/w8NOuYpauxoWnOaOxucr7hAkD8pKry
DF1LJXsJ3YPJ6+grvlaO+HIdgHdnGEwu/BbHsKQiJZRf7KEdq30aGUhNBXkNZMrWddE54zgj+hLI
L5PVR3zNEyH0rc+B/WEkd1IerUlBNxKzfmeZ42EZ1AM4un4IURyRXIMtTBDxRjDVP02YfO9mu7ir
PGvcN6DN8baV0Ajy2TlTwqQ2eeecCI9j/RLto3aJVa2iPDgNtAO9sWBAUfFE+l52ZY+fqbKq3SAJ
alttHeQrjjLVu9akuYrCCY46NYdD2mcsUOUYeiCOozq2tiaDiF0lPRN+GdG8ej+MbNuvnbD1900x
4EsfRprBEhtxBFGk+L1sJsItBry41ooy+kNN4VQ7kOnUTwFWA8/ya6HxZ9TFn088i8XoDyceSVOH
WRTteLSLtGpX0mnqqzw14se//zIKawCoGNdjhvWJTNHPWV4EHOiP3ghYA7yjjtfVVNneX1zOoor+
UTWFqMP3a9lSmpwIOc/9fDmWb4hW+U53nLu8e4uXFd5tZ04EelIpzAIjib6nPRrMym4zof7i1cXP
hqzl0yT7KqVn+0i2PsnWn18+GnRi0ArYHu0abzXM8faBCRpy8bI56CFOXlQFHj+hGPM1mQoQXewm
etN/nNld2D+2GRaxpGXjkZPk38/j3egVzAJkBRLMNDVqCo5uiIbGEKW3TV3zqCq8OQDJFhagWvzz
r7+3P18QJ2ETvzdXhkrofFKhZ5pUvLToyuMcNfgXaXjS6DmM9BnaQ+5hjdepkse/+6ISigneOsXO
1IVo8vOnWNObafeJ3/Ciej5LT7KXbuHe6avIm6q/NXVfvjJezDJ9LpC/yf48dde+FCTps/Y4zJGx
Jcr7PibGLjPH9i+u6s93GmVJbENwgCJySOfT/FZkjVUWVZQfIyoU2lvbKgMWTiIJ3eHXH5/15y9N
Or7NKZJtosAj+OlL00lkx87spMfWBpSIYO9vgm4M9Rn1Q3abREjR7H3QeD5L3tDcJkMHOohiyTUL
Ufje/dj9lRaA7BaL4XwYf+wP6x97xV+/1T99JhYzeN/0EXb4WHAw/vxNkxjFb1ao6AhQBPmfoUsL
OYop4t/qkedL5qnAbY9TclGSiOL+/DouAeBK6y485gGHgU0NMTna6CBNr35cz/+Kgo9/0ezOrEoJ
2qn/8PX/qd79KnyrkxCM3R/VQes/f/IfEqFC7cPcgNq3UE/tHwy6f0qE8jce6zayLT9v+bMJgyw4
dnJ+9P/qff8XX8D6zff4idGs4mCXdV377wiE3qdby7PxcUAqUAoVH5sIwIKff0hmZjKeNaZ5j6Ns
rhf3GW0Glm/JcNt0Todq4QTuc6MJjmMvdGHKlU2CFVNPNfzYhgAi+LCy6h8IavrkJ50WGE/Kvl6N
XbuzhrC9Lway3blVsGVz6O+CCoZbKiRIcOINZVTLFMNh8DvClpOjhvHsFiZgcV3k0a3Tddpf+VSy
RJuU8Fp4qj2vEVvWhvTezluHJgJiBdMag6ZkMFWZtG6DPsBBQmyHdbmDCYzLLI6R5vzc6Q8JCKb7
vnOoypsML9lYY/7i5MXorztMYu9cnLVOQNmmLASye/Qal3k5iJA0WHwVwX5wSjhwxuAOVHmRcd05
NkLXrpYVx+NoHiCFNHRI3EQtFglsFxgXNtqDaHYlkoDgVjCMUPaWBjLvEHuAbQ/2TNnuNuAoStoY
S+C4JhdofC1QRfwVW4XoXAQF7ZXsxM6N4AhASrrwotMoqA2hOmqiWjqTHmPNpK4bRMU+UC8Uv3ev
qUgGe+V2bfFdkJL4CG3PoBS4LctzwNDvmvM4CRAyS0216vAaErwqx+RgGWIgk230l1jWGdba0CBl
H4caIDwB7JeGaIWxCZg/Fnsbf8GdIRyKt4WtU9ArTQ8VNsAR91gQ0acbHVsBfVKzWxZranKtD7c0
gTUhxqavs9diAO0MNBzStjNnzKhGHGO4sfR+ecnMrh6U0snCLbOzSrpGRN1Ud+VklHdhX9cH2RbV
fRgr86bC+Ejx0hxTbp2yZm0TJyvfTA5bTMhiym0AE4g1yYXkyqhbsXVtWpj8sWw2TaQwJcxTPu1b
uypQgaHahToZGfYEQKZ07h8aJ2mexrKISEHEJXzCGYOlgrb2kgXt/GAV8LpzeMdswsYeNpA/3MaW
IhafODgcyiq57iymZx1/195LyaaSlGYK27Rqg3pkkrrgLQ1zLbCWRPO10WkaV4M6uAIvURxEFgLl
kBhbaTrInmqLsoxCyS+utHHsuIK+TpDqVU+/BbcBCdiIU+cwJPd+j7snCrnSgfoLTAZRc6qC2txA
mJm+lDonetx145UEMI5JYu7XFarQhGhW+2uL9GpPyjTQd5ZjzReJ6LeZEHRu+a3LPd5Cj0bWwsk/
1GC3ly4o4YZ1jvWAQ3Z+WgaFhxQB0t9BiaBCVMJje0rDXDyjXJdPNBx0Hx1tTU+e5RxdMGkHO+Hv
jk3QzkgJsLgmkVWvFduMCyXE1tvgB4Q0K+H5DyLqzHUecjxax1lHlsPnmUIoMpYYKeU0U67girdh
Xuj0pdHYX4So9C0msmRTo0F9G3Xs3apaul9hBDTbMHMCNCK36e+loqZ2KiMSflmRvnsNHJ5VUREl
JjIHBT/2cswhvgl1SkSV9bT8EOhv8uYPJi1DuVGDmX7BR+xd4AHceQUqBmSHNqvXTGkGrtOoaLYU
ynqVGM+NfUekE/Qf3NobduHd1cQz4j4g6fc9CxMI14vj9TnBsYu/mkfzQaJ4EKuTAXyiuliap325
pEsT4T52fm6JNVwG4CrA4+/rTOdvLnPm76Lv8HgXVCvfmZHbC1DHMFwYBYxnhyCnRcUHR9OxbP0N
Vk4KBSKgcEKZcF5cfgN1PVU7bQsT/1tgo5KZTlVu6rR2qUO0OjQ2Ohbh909hx6ZLUgZXJNwklBPA
LlCtaO61SKt9VCDFrvqoax5iGOwEj4lv0z/gnqSb0nOf2jb8/zy5ys05+GoMzQPh1BH7UIdwUZpT
fCH+ToFJMSAj9c1MLBj0UndMxpocmmVM4mhZkzy7iWqv0wrL28oipXObOFRqMNYBYRfPBq3DBcC9
y+CCgToASW0fKPZLH8NeO19FbAzbvmcsYanQvNBmNFxFtu8yge+zqyjpMr02yLwvNQH+bQZT/9AX
o3OFTG7U3GQ9ODnOzey726alSUJFCCbrwcWqyK0gvrhhU1zoKdUn0fbu1QSS5m0kJ/FGCUCHT8fk
PQ9QTt+tFooFfn3x2Fvk/mc7B0BRheqs67r8He/88EbCjnoDLZ1WrRMjQYGa+6E+uBPFLauoXdwu
Vv5BuzdY1GW3cegWb35fScbywmkcylvH4hwPidwRaFpkSPoLKZlyaLJm+n4MQ4pvDQ/0DZUWKit3
cPZZbxVBhxsfFRzYquWASwmHfngzZIpPLcxEcB8yufqQvZN1txatQxznQKhgjsu8/DpgI7/LqUi6
1NkUs7LXTX3JCw9doCn8Bk9VjFUraVjqiNDR/O72bnLTNKPeeWFWXIVOkzI+k7F497IBvdwgfmyu
A6oXT74zDf5OiN784lLd/MSajSOQYytOANj3/dfcMZxTmiosF67jE27BymBhIVuGoDGM7kTQMZtG
wWweo77JH2VeSXxhbROf5sowl8qtST4XpelCq3PqIyIx8XanyYurHivlqS08cc9ESFzZfpjsgsY0
1hR6MY4q5uFuzhs+EJ+H7gLPaZ8dwhYflAvPz+ZA2CltqQZsZpVu4hlTvg8w6ezVUiQ0BDbuYmEM
cYMPku0QvRDoM3Fd4h8Pw+gmDarkufAt95oNW2XvA3pDiPU0fgr/v1OvHIxGTDDuCy77ck+TMLS6
haBL6eC8od7rh/yaHEM3S7EaypLZQO413pfYbbt8W6Y+rEknSV9zbQ5PgkcnR3ZRlyc/tPxtSNkY
9lIS5lht0/DKRf48ThNQWNFWMEYDA6KsJEtgxDGF2DTT0JWCn2gVJba7TunuflXTYp8iyqcOFGCr
Gzl1odhUltl/D6D3bLsRkZ2N0dYsI0aAslms0eqA2zJZdW3inKxWPdpo53tqih8sry+fa8Ag6Ih1
q1der3hixb1jMs5EoeLu1+lDxM/kmQLXEQAzuftoMPpsy/w8uhez349XnQHvdI1O0OptLoX94jft
9K30FJmFiad6iyUQ0gTLT9B0h7kpgxB/MhsdU6des+ZrRhaGd9vw2C7T16hyBz5Ev+9Xk2D53Aex
sKCzAyeJp5w7FVQQTqHJMBgqRY+pqb07HdkBhLjYM9Z4LOWxswc6meNiRBsxC+N76WTmY0uh9SGm
vXATF7reafLm65RowiO97AEf+W6mW5yqcee6yUzznFFfviW9IFejb2YrLw+zYwa6YI2rVN81qi03
hmvdeBnREUTMYFXV5nBh8BWdExrFdgng+RAhjzV2NQQCtoZXDd6mR5XfdZkf30CKqs+6yohVGw2x
O6qJdXtdY7TFR8Bx5snpnQWe0lIND1QQBZrsrtk+dbp21UaOtn6qeNaxgk1E2bxBxJvFxiZ3VkWX
GTxM5TP7ReL5gtHIv4HHHN5pr11ALnqC3wKSf75SdV+9NK7lflGpO51dwjn4jfPehRJTOBcedhbg
QPJer9zA5k7S0MgW2qA7gXsmf/DmUV+XiVPzRG0LsSHqq64EF/4BVwYrdjhor9ok7DeP+ZBpoEJz
7sNy8trGPJRZK3aykU0IlI06PJ6aE3U5XeNgZNSpwAM6mxnfUovejwG9IY/uLSGKdT3bxhutLs1D
rumEWrfs2Tcl5Zi3s5d2r4XnouhXxLqvO+WtK1vByGligy3OZPeLFO2mr/RVcEILyRRnEHhCk6Fb
VaXOxqFXw14xdAsIlfcjGjWmAlwhY2lRwFTwUz7QXOU/Bx7VCqveC3z4jx4/1XXWUaoHess20LLz
yQSESXKwaRA69kjr6uRPA27vWOgIILbKaD0u6qlDICzsj6a2dbEvqV2ZKE8mrgQ9Sul2k4I5CG9b
aXPkSNOCiZ0KrZlFL/WxaqnpnntmWDkMt/GRhzN7DZ7+pzaEhdNl+WlU0n7mseTcuwXLASWm/inv
pxb4Z9Ik7Kbm52HWDM38MKIkYmYusq5DM51XPJJm9x8a6f9KJH8hkXgIja5AEP5/h1T2Bdrl97yN
2un4/n//z7//xD+EEc/+DVsU0Q+LvO9P3imA/rCm6PuzkGAEKiMy2j+9U5bzm8JG7C/BEd+TwE7+
7Z2y7N+UWjDReLEsxGpg/38jn/Kz5ogwstSZuAKpzXGXc7j1szAivKEngTsMW6T9YkXOc97RMi+g
vbCJNWiz/ofShndOfy/+i0H6U1jqn6/HCzr0QfJ5oDz9cW6RatkkEBYH9nro0rOtP/oZthIum/Gv
RH25qPb/GSr8uDbEIw9TGLKtt/Qb/PRaHcEcKQnK4tlaQjeZA0uWcbd1jIUor5NA99fdjEUsFW2+
0VXtv9OU0d81+ZgcM9/GPsFAB1fsRIKSOHQDIi/xdf1sI9GQqFRUeriutq46UzT4hGAprRvLA2wc
j4oCj2xOR499bvHdWNJ6rkrwxRKB7nfS41B1au3avItS0TBTjuZg07Ip/N66YbFtFBV2WD9Tzo5Y
2b4z4gro3kFQL4J0vvMrQRgaPobeV/jo8dm2iBgQKU6V6UPSqmwafhFlfN5K5wXBM7rYHK0EOAIP
jjbWeFiYE2guQxvevpwlU+ssjQ1Cof4APbixa1GQjujrjyw26ivUoaOn+T1YPU4zw8vP0EkelwbN
csPCHFyBC5tPkQDPNo7peQxxhJCAQT2LyhcjC2M0BHGJbfACueOdMYKSK/RFuKrKulpL36jPU8iU
x+zAKAYczWE2+2nIGk04IkrIbFjGiKAxNS+RD9crG+0EZi8pX9czyIL23k2bswlIG/hbiwwgLQD3
DhjaPkDuSDQlRRixG2HcT5xLHcvD5mqN4Z7EmL2hAeooKpzCSSl5+RpqpGnpD1CK7EG7mP8SAlc3
h+LQpK2/7lOGhEXYmGCleHHhZiZpEvMydBZ43qLm1sn1mxakQnIKWISrv7GDJ0eBKrSxc2PPDOZS
JDDDlk80kYvIb4cP2Bv02hzFu9MFZyvxjlURw/q2MryBI2XLg4aj1MgLB+dxXWTWe+xmO0mmnaWr
3Usz/jCBcW2ToH5x+B+IY5y04w8ykmdwVFe6XAS/PoDGH1YP7EL2Bps2NQGFCpJ9KykRSutoWzKP
XqtRUUBaESPW51jag4kZMWhuq9a5iajJy/sYoUUCMpNDejL98bvblfGG46m7S7JlAzQqNtjAxFZ9
C9qvkwCd2ewvZEc2xJ2tbsQUwjcMxm9h0DyPWiwNDkPDh8FJxg2odpX6PMXU8DDHwuNuNMFaAM2Z
Eua39LSedJAUe7cWL4npcwFYVsyAl0uH6Fvg2PuYePYqdaW3bj3c6WVBLaXJS7uDIBFXEKOpG+RO
vtgLzgEfGQ8Yi5Gm8O8zbtSkEtCNjIZ9WOM9DiZXmnvZuSeds7LN8hsGrmL7v/OHH+vh/8fiytTq
l4trF7/Vb+3nBfbHn/r3Aov9mOEQiylzsx9w4X9MHlz1G/BiBoXinyss86N/mZNJjUIWYLLtsRZZ
jsub+NfswfxtmQYrWGwCNy/m5r+zwC4jqj8uQixynmJIybTMYqX3Po2WSX+juLEQbFuHZ9xqRnN4
DoU7/sWk7PM6buKlZichXNzWguv69DKNSycNbdbuovj2X3vTUDvM3Jr6zTbp9zrDCvGHb+G/LOTW
snr+fGHKdeE1KXMZP1rq00jFz+aEGrOAqlZrZB9dZiaP8M4Is4HbReabDJz5g+q8+NAG6h79giNN
xZ/6irxgAW/y46sG3uuVVfViK+A1QphMh+tMz/PZGpPyL1o2fnjAP7/fZae1TBPxJ3vLF/UHxwQH
zGQaRgSmJCiyd0x5Cb4wi3+iO/rYo3mKcOJxl4W9eK8LLH8Uow9Pk47LPUZw+0N3XfKFGQqt2COd
qr/+OP/UXbJ8gVgQTG8xQfCb5Pf4x7fn+ZVJPdvkbglu2NcRTB8mJM6SqGuGkA5E/ARMl8rilELn
2JqGqQ+EhyEEajSvcLS9ZzHp7BYf6Il84BE7/AW2oYN42Hfw1N2qT14x9+M7Qtu8I4BUfOtwERNp
qcr7X1+LvWziPn/UGCmkYn9FT+Pn8bBiQGS2nQT83KXhGfaDWmOXEXozliqk15ZWMmY5prM1imZ4
zxkygdbLcpK4edY6h9H1jUs3ju2ra/dwgC0rP2eJ4byMYIDJ7lx7dSQ2mO/hAaeGpnC1648ctcNt
rePX0kEpjgLnxXcAn7RGt8aseqsIxEJWdLMjTlX3xsry6mwbwYyxK4QriwvWCnYhZVAMZKiv6yZl
r0Q6yOsaMOj74hacVxZYoJPjVvN1G2dSU8snzBMZGVaPWBhQuAuY/y+//iz/tInldwFkx7EJSUhL
uu6n26z0siZxmsnZkmbIbgszyXdFPJhnJdTek9aHQYfNbQd4askQqTA7dHU6fLhVWn9jItNeV5pR
AH53AcyIY+TGM3Abr/Lcs9Z46Mo7eh2bA4ZXPZ50mU3vfjdYDx0GxBP+TePFkok+l7OrCQlBIltN
2hzPKiG92Xau+Rc/HJ6sf/rh/HCtMKpdtuw//v8/3KOlMsveW24CUrz9DRb8hXiBincseazfUZjq
7yqsCQCR0/kCLUWfaMVkAEmUrzxYs62+oPhO3+tBm7//+nv4L89XxYEFLw3/Mdna/3x7pnrKCOcP
znZQJCfYMX+E/XS0W1RGb+z/4pD0Xz4GDmSLwwKqAeI9wZ0/PgsK1odBTS3h1qnxXkwc4MtdHN/+
+pI+H8W4mp9e5dPxKFVx5DayBkoko+i7CXniPHXwcZnu5dPu16/1X54IimCNv6yoyBbi08fHTzIu
SwFtlIidOEkjm99nt3LPdi3NewJkPHbzYvA5dZhmfufnQb359Rv4Lx+pb+Pv8jh44i/7XA1VGEy0
q9BxQHh7/ZM1ILqPAe29v36VpRHhpyefw+AHv4KjeIQLU3mfj9M8ctWUxrRKOvV92QB3yMxpH0f9
ZcweCz+6HXNa6MfhfRymdRemxi21qwHozIKEjhymjd91DWKQXVzcphz2lBoDBBjvG1Fix59Cc1ty
gINfEB5Le2QeJH3ww9lQfV/S97++mM+/DweZwcZnRaIKMxU0jJ9/hbM9M21xQYJXLDtAlsgIET8i
aeHSBPvrl/rTx+abqA/0FLpsYGBkfPp5/Kc3xEtdfRVMiXFg6t+fdJ1DB2uCDsus5f/Fi7IV/HxX
g/ngecN2iScrlLDPX9cgWgcKxBBs+3R45DwLOlFTB+QH4/AiqyJzV9YINkNHx1oPryAMYFrDM3yL
NTUwrRme2PvA+FUeSXX3rilLiLYI3/uoLhl1MIxsgug1EM1r0RNx4gy5UipBLM+oCqhwSTOHGo9O
0tsUJjfmne8OKBRQVmH1ICAYhEpW0B/NXW0FzrUqkDV1bZ5LYp47D60G4JIABV9mF9i7PiERTH7c
T5OXrHnoHxNbPUDn725n9w3T8zsDx+Y2nzNnkzuOfiFf1N0a9MUwuqaCOaDABrlY0RRFXyEeX5cy
+axK49dpNixyB1FOeI4UwLtISdrbIR6BhVpov46RUDuE9sey7O9qte+4zijW1u9B5NRbJ4DrFBk6
+0oUMEKcTOm8I/uebPPILw8j/Pm1ICFxA1kgubNgwncrEVftFnAia27die/0N6hrKsqbXUTyaUM3
GdKub/XBdh7oIsRmIJOvSZMP2wjxBpvqhHnafXAoLt60lQSFSK+MDYajCqdTLUP7QkSgWnvRtB1x
dWP9PtDXPu8FJU2URXY94yhaJqlO9j+mQZ4x2j2itHyP2V0+RaJIdnLOs62v+ucsrK4ampJ2DSLM
dYCQ8FTFsbz0SQ2laCqLjL8rpdzHxxLEEPuS+fPTqDt13VPwemjxgDAT0jSwJmpkUGe0/W09zuPe
Yrh910JKfs8bvrauxnRFtwEsxx4Psp6D5mCCQrosZpOXvCrT5yGS+xzwPj0TCFB3RZGVFyNJEVsA
vjLDIKkEBCLupy+pntuLDKbuC/YGn06ReoJ1FZT7sjCSG6Os9GEea0DrbLRuurgi6msKc2NVmccr
u+VNwIB5mwwjblJbWW9GQC1RwdDhhoFZtQn59g5YVNpL2KXf6t6Dbbtc4WA6xr4O+jtT2/u5eEQy
tdZo6bcVBpTA8Jp9bMYDGNGk+D0IrPCRqAbVCrKL2IAri0w4apzhpfOmbat2M8NVWBWjdi5MZ0Li
4MW8MUtYuQWTtg9lQkCDVjhdZWWd3eaO+k6f0WtuIhWsGqugV6UWEe6XxisOUFpgsE2kKEI5Mk1o
QhIJQ4yxqtbPddk8l/6A8NQ6Vv0tJV/+pFXiHjK/yvY+kMNtGeSgDLOhOddZDbyKCT64nzLd1QaR
L0fyplBh8ye7zo1rzBL2piRUc66T/J4nLOw4IMT40yXDP/Kje1TZc9D036WjT2kxgr/BPoC5zJSM
IKKQf8HQ4UOPWX/bj72xS6RSt0ED48piOPEgu+lbo5ziPgXJgLmMpwL3IEFRGfXHNHPu5tKUly7M
+E4EBrVN2AwdHZNUd/pWG+5CH/B558v1KIry7MU9+TBJRFJPSHkA48MvrfyhXZXzyTQrLrCoYIQ4
PB0du5lYICqSZ1YYv5HJ6s44DoYbBE4az+lAuG4dI9vitmbClMZ7vBOvFUWvO+3GQPmMlKSPWW+S
nujbiP58UyQoR5Mxit/lAGt3UFW8qfzQ3ESJru6EkVFDGnC0c3cys59kUDk8A3UMlpIWH8tLbo3W
7IAnTSdSZetO4k5O4scgSXKuuEwu0hypTqZ86N0Es3Zf9jE7fTXMyEgNKZ8Vnc3xBm3rthauvSGU
NkP6kw/watZOTkoGdEm/Iiq5z+eyA9krvuV9dQotZ5Paybc8sl2yCb29H0pX7GvDfMA0smnCsb/G
pxech66I4fKYZfPSArzYlFDrA2JaouhXdAN4uymeKHss5/rULoWzIoPt2CT6hookxfAM8lE4yFms
vWJMaOuj1LaLlr5EBvb2zvWxphRDcMW2o9gXcZycCmn0dwaZwV1k5vkZfFN55eBxu7fd6hJSULPM
yYy3yK6Lt7k2k70VeNFTkCt72452dI6CWr7wrlGpu8S5yfuIyqFRzfvQLcM33zLiq0oRm/BcVk4c
KxX3Rekf8MN067KNOQ5io9k0hCCPpcQ2JiaHKWOdwNkZSrKiFQ/vOKovtUVbIToC+JqpeVStRymD
FZZ3RByne1cn6lTW6QRF14tPpi2nrZ22wXM++9NLR9hq7YvUuqd+tEJztlkLQyBxTMqjr6pwqMi0
KfyE5ue9lBqIThT6xVUsNcttON3hDQo3YyL1HcpOuzW52vOgJ+dE+NE5U3rqbMOgNx8FPpZLGrXy
WDeDOtu+7ggUxfq6p/VsS9S6v6m8+L3MqviRIbG5jmxtHviJbquu+aYyJ9zlKfvFlVcvTxdyRVay
SgnfbGemoMfGlluJ/F52tw5Vg1nj5uAoCXtqFGGohvRtbg2GpNeSHsP7do6cdyeqshdM0g7pWftp
CmyHNk+T5a9q+70z9LW/av+HvDNZbh1Js/SrpPW6EYbJMSyqFwTBQRQpiZJ4JW1guhowA44Z8Kfv
jzczqyLCKrMqzWrT1pu0DLuTRJEO/89/zndUTyjeRi7VbKe86XPsC75ltxtck9aaRXwXuFrbPGpi
xIMJ092HUSlFsicNI6klBk5eGE29VnbJGz/qWxpA5or6vgzo9Z7k/A/P7t17jz+/YnmhPVR+VhxV
2nw6nUmwJm8tbsBFWz1W7XC6Zvbdzv6ucC9APY3vAac663kZ8zXgrGw/WrzOsYu7qGF/vUKOOnax
DMc4CrioRZs2KieJQEBEb9QM/24y/IFuni5+ZsR0KDEqUoMwX+Vg+enG9kTUJbq4rWucIVzpR7Of
5I0Vx/NxnufusxMpdoGxSZKnqeKLwQ0jvqxZ9z88zKqk4dMsNBP+nBF52rp1qpbgEZe+TSQyi4T0
THOk6VOvUI7domFaqquw9d3qLCtQ0kmT0Q8+zc6As02ThxhbDGEiSeuia6TGsxZxJ6F40KddUPC8
HpF/WMxQFbO1SaLzqBya6AlgzcAPv8BG1LGW3y6NRVy5w6eKN5KA1SrtzOJSC39+aV1VQKlkbdGu
ZIJOHmZ4VIh81pl/ypOcxp9cm9YWwxCmpkgTr3HDI8iV1Mc75uBufaFpyyqfqKeYptI/+iTS+OLB
INKRrSj9HSXU3RW9P+puzhEoCR508k4uSXfMxuxcOuonIf8fQ2kPmySB2gTiJN4Ng3oZlMkHWhFz
W5K83Q2WqkN6IipMzDxudPNanOVjqLhKRPO6Kp1mLQtvuDWt1tgktHtuXCuLbkq2UbQkltG8HxOw
AaW1zkosqDxdscVZJUUzHWZOgMOpvFRE7ofoE+LI2ZvMp9Yb3w2wBKTH3zC+viQQHndlrJUPzah7
u06v3MDWS/e2GL2cbX6dlutaN6AH1ApTBgUo7dqlCQEHhDYYSFF0v2Ye9cC+aPtHrcuxXeNfxS0r
zeFEhWkMOsgR4n2eKg/H4GQO900k4ofCnx+jubR2hOqr11npij4oaul2SEvT1wjm7VHR3AnjstZC
Oh7dHcwZyC5A/JbPYSCbL/FsE+aEQhBVltzySb4W3LT1gxdn025kn/Va1T04NmPwKEeOqzkAfk2c
XpItRXDBCg9Xd+xSuXdFNV10ao9LZpURUgEVMvhn8XZ9zjobcKzKTvrNn6nCglQoXo1Fgw/BNQa3
h1KddpNPXkYXa9zdubgXktBGag1balxuiTwCFk2d2t0UWeJuM1/vOXLt2goMkp8bSO7eoza7VxAs
ouFzopaaGhJXPyBR1NvWM30+3IMP2oCAqB2pB5oYgtEvq88e0XEzW73+zmfYDBeA9rt88NS9NupD
SH9RwTV4aOs9sVHtqCeQp1bQA/Ij3QTRXcvlIxTE2gndF/V2iDzylazfD2XsPUNav8GeW/9UQ5xu
wScnj/ao1Y8K2nKAdWp5IPBXMdT5zoMP1/AtEYV/HnLTPOJdZ39lFPHH9Sh8A1aRPA5T2UBXNXJy
vBlAHplp/rOr+v7Jzf3cXw99+sHBUpxIMc/Pk47RcZ2SzsUb1FVvhAwavock3yXUC97S0RKfDBU3
D2M71zdYjq29jAd6H+C2sTkz4x/wNaM7aRL0lQXay+R46aHkwvYD4BRdoBQ3FVvuPLBrm9HWQq+c
/V0zuiN9I0OS3qEMjpfcRhmctaW8qYED+4DJpu4BwoGLnKJaGgi4rx2cone+JgO6KzHaKsVWKuVD
4+H8Soi9meZeuMzHScE0uctbRFmAQlOxaTKv2iXVlGG3KdvXJrN1I7R0Fgc4kpWOV5fGhecBd8Ua
z4wR2qXWdqSdSwYbyln12yYZk5Pm6FVoiFruxqiluM8ysO8tSXvPYzIjt6AKzLUl7SzJ4i0XSp9J
qaca1dOFJ9aNVABVmqo/5e78QH+Iy5t/zIed5FvQVtKT1Tf/iZNvYvffhvniYQDwNQxgzFaeOGtJ
THtRm3ELoYjWDho/7p6pYEEw1XXud/xy81FI7Majgs1ljJRQsnGcmKRabXwXSZS94tus2jAyRD8G
NUD69Ix3od8WAM30taYWUr213XEyxMuZbxQJXbYziXm9tLY81JctXTvlLrc03bqUUdR9U0AENthE
OaxuTPpU7YDBQExYmVIHb1pkuMu6WCAPrLlJa9odvrXeOwCdKqZwFuJlKOeSknrPOhfK8nepljbL
qhzr3sMvTWURn3YhvZA5c7rrmwmvdKPUMNPHm/rJpqwgrfc1yX3hKo9miq5dzFvkvUgPnFSwqMKO
CoN0ghw3g9A45pbfPaejyIJJg9c4NS5zmubN34oWCkgdpj3dEFsufwpDjptOAnwJ6E/i+Nen0bot
3VL9IOrWfSfoQEcAPton33rzOkRTJ+Czyf6GRyHHAD8buwoXqtXaEyDE5dTVDqROj6r1zShG/RY1
LOY8H8tiWo9Wka6bqJZ36ejrp5oqujdGS8ZFd2q8n1nW5qjrHNw/GkKReehZ0yHrE8hy06QRMvYn
R752jV9faSfRCyslPldjQaUUFtLHij39bdSKOKeQy/pZXLs7pi4J7N5meYKeCbxO3eT5RB2LQgKj
ZlOLz+T9i6d5mOkr02V8kHDOcH/nALSydqBAHn92t1kq1e+XsjFDqaVtH1IO2P6wMmfcZTy+LnEe
09fpeYAb+E5g+7Qqy99rrkswmut+x0c1PjQ0g91L3He0flKegNWCiJAW0EISVcE8L1G3FnR2wSMd
1TEjy/dCLKH+aYrG26OuYv8e56/OGL/aTnvWGQFgzJI5sAxKX7yahLVNMDsgWzFcWhnHN54v/dvM
jtOv0b06DlWdLieULZ4MJRdripdNl9ZuG/S0bNMuULPUvjp/wvfIbu27M8XUfVz/CWLcztT75zmx
ExqucMFiQRhTRnuHdSZpHYveaWmMWBMjvjlcqYzg6iJaqB0BNIqfqSarPBi9ub+bI/d+THoBT7eG
lRjh1En7uUPRya3hMPYNDdwkQ1Z8Ol51/hZQoxq2EgaTfOv0y1xcj4h53S7qzRvQ4eKtX9qvLg05
dzoJk5eOb/3G4zGMfbvqaQlBhURdsi48nQJbw7SzyqJFnDSDzmvuMldMZ+5hHFbHBAjwAUohtpW+
kZ8AH5DbSvLHkWTW1WaMGlYz9VGADcYlSzPwOdDIoXRcaWl15GE1rfqZR3KfmzOGCqVta737hTui
qSYeTHnCNEP/ot26e2zfsb7ipINw77XOB1JGBnAo82Y90DJoAkZ3LqM2uTdMdEFfoxfedQbrGEVD
0Ge8D2k0upJzvXrZ8ROnWFWZNktXj4ZRoq6HevRfJs1yL4lynJt8aSUJNWUgzZbzGjx+fDNkjnX0
xsFZe1xXXkbDyQ6lgI/F5UCG5kyNVTo2OD5AV5H68nLKB3UqgHwLysCKOqLkwV2Yiu2RMrTW9dOP
uFU8gIuoDSzBGo2UdPVcOiJ/InSqzpoWuxf29QBQ3TQqqecdGiv0Yr0OCiczLOw8vXfxtJTmNVmY
j/1CaQntaFHACATyQFFELi2gHu3UZkEHx7wK7Iq3im/PZbqduEtueUzTkp3iLwo0OuGTtZ/YMdet
ZXzjGCXZ71Ck6G98mANqRZyt37OFpld46RpZbrrUHc694em7gut9zWnqNTSdzmZK5ZGYtIe0WLJT
U9fRjdeU/ZaseQEoQzi3s101uyk3qo3XqGwtxo4ZCE78uo0yeZ/O9X1XWtazgQ27as23tHbe/YL8
mqidGVKSMzahk6gSWDPxgn4pjuBxxC6OE/0sAYwFTWV5NyWlUse0y58qKPgroxiT78YwjUe3te2n
Ia+jfcoVJCQs9Ai6KOeQdqbzVE76bihEfpp5klY4YcMuzoByaCp+dFRZbrseq5FZojIj6FpH2luG
rXBkvxk6Up0sQ14Hr9UPeNS17RyVe0op3e1g8zai/fUbSoP6pKOE3j1tDoaFgq+ZzpTVyOYrT2W5
1826CBsSOluX/uGgiFxYlqBb4lBZKnnqh2GDbTu0moqfMbuuECzJh92V6hBPk3XnDX0r6HPFKkQT
dL+r0J+22OGGTZ3r9A0B/CE1IO4a0TCK9bkcg1bQRpQtrqSxjNWyDPWmOHjQh5TUQj+jbTfVhteS
4t/B0+LtoM0GFUs9vxvn98Ogt0HdObem6nca2NVV3cf2gcrSO7Tfmt1Bua2T7KHWhP4zkWriaGIc
Nieoq/48LgcEsOec0qBY6m7A4iEwU2BY8Qg9wGpTKsDoxOjbufi0+igNcqt9Uyq+NeC04yNM65o+
PjOmu1B69IW4mthIwQikRLp3zaUjh+Q3Jbmyik0WVw/3IDDzYQNnQHYKALK1JarQIxKDSMk4IQx/
fqvgCxwo1KIhuXYY2od5E3PmrnXYxATLUvGzLiv70WniCs5XYibtaqJUdUPddE9Ma5E2Wkud3Agt
zZ1rYZt4bUdDi9+pcsv5eLbSYe71jSfLdlNmrRG1LV/GMOdzKwNm6VB510wfCwqkjJYgT6TZ0WMj
LXggg09BERGJPS3r69hrzBuqPVMWmOM0EZRyVfoeuRFPRZd21FVLkUH2RNwxY+VI3th/j1MSEysY
AC502USLDk7KfBLEuWNMrz5NCA9+7AprzzobCyDAuesBl4JHFdSHq3ym47cx0USpTST4y/PQgTN8
PU99ByR8m56zacwfh97mtOXcqLZWRg8OQYZK4ANJHfdVVsXwvtSm+KSYN6cozR/K1QTdkGTAAhK+
nouNUriAvWYx+l0G0zwodH7UDIMj02IkcZd4WvuCUNzC753Isc69e+M6Ag2fOmLb7om6quLkwDdm
/m3uyDLtO6Kq+NPba/73TvB8J/x8Z2kxHWTQ7m1jWvQVQKIYdLrRHXnHJa9RkzVMxADcu1i/dRfj
sxXzsI4XU0JtIV0nooWavszfjqX/NsbjWTTzC3bFGQdgxDUjU6TvZnJfMY78rV219QnkP4Celjd6
mSI2xriEMdkYw5lnd8UTMkclywpZhowBTKo9BW0x4Yex/FKkOoLWtmiPpiavqhJcuG7EzEQyAZeJ
w1ZK+t30SHtV/xwPknBMaiFSF6I5ZRgYADQc4fsAu5ldY032DpGig6/ywrxQ6iBwCFy4OTSksbb6
t9TIOmo/QLsdFJkLmFsih80sU9bCpEkCrYRiz6qCFleq67LY3y06zaz0UVgUkecllXhFJR6byTe4
aKGfprrGckRkrx2x5C11vgjGC+d+WosWGNOsXhaXqa0MWGWhbMCfTu+ctnyZJsN6oEkpijddby1v
Uk/z3cDt+Gj7vfOyNMpA/GKtx5VIiaDOFl8/zoWmNysI6yQRKxewFvwnSNxIQx/Mpkwh4OtP6QiI
J+h5/XgltcQ1wkgYxTMjXEoMv93mhJnJo+sHWtnYF3Rj/lz2DfEIOW1EOV16OEm8gvGzisytNDx3
V7BLCgfVdoG+UEu6Fq1A4860Oytmpci5kj4TYCNc50kmk5E3Gk5Rvf2uVHqSjXsNhULkNdt1NRU1
xdV0yNoI+YHyUhR4IpGJCVGrw2kzrGxTxht/IQ3IkTs4ztoW6U9zMIXcDoASdyXz5wtRfbRVx272
IjObzypHj13PJm+QCYITeOiGNFchDJNmPKOHCxbRAecr5d5SZV8+mzMdlfQPM2AHug0Gv5rIUY2V
Ez/QPHTqXfzf3ShTsiu0phRmWYD98Ity3epDTR10OamzmtMKZCfgy7WZeOYOHj55Eth5rBOWLHvJ
OBU/lNEaVPEa5qMD4ASdeJbpQRDWIfvnQn7LWZuN0L1Dzo1rftCUjEygAvetOdrgBqmYPE3cY26g
kV97XTpJ23ySzDDnFX3RNHXrJrjQnpc8IM54yTuwg56nvJCoLpk2+gS41pl7x5U8BqdEbEXHDWrF
UGoemeDqVdKyVRzXTaMeKvnZZan2VeezFrTuoN3m1xvvpMz0jF+vPsFIHrBJF9l9ppSz46Nk3fvI
QRc7MYmY+ppYk0msmPdEvzJVR/NvTnk6iSLOrcrMb/E52VzLaEuIomY6cOLOMO8sbzNwSm9p4Wbv
X7fXzVgTGT8K5IabiC3QWuZwzKvUcs4DzadHKG/iA2aGG61Q9Xh4EP62CMMT4k+gzQVFQu0TGpK1
1hOD0pxco5QqTcSjwfvzIZEGb6WYKu/JVvVZYNVa4TB3Ap48Ha7sXiBQjfZeb/QcNSVf0rWXi/Ix
LWW+HTqn/9FEnHU1qPpsO1U421aLnvEdl6R7YbpWVGHImEAXVLzkg5IV81WMXnq3mB0tW3wxNG9e
S5Myiwptl55lmnAdXqmiDrLKWg6JBpeMU3zkpzPVjfeuTdpr5QHdHwGGAQO55w2FWo+aFJSA5e8T
zSiH9ZDRxbqe7KScT5RTyGIrmXqHbc3hmQRJ24073tYN10cLyXQqvWRP2UT87DZ6t1wfRKO+rv1i
mQONVxbLgPLJ0RrRTrhl+2HGE9mF6hy5Vn8HvX3ZV/rsBnmujXSTT5SIrJI+jR5ixKJH3l3pj7yS
xstkWsXacbs4jDURb6I6UndOVRdB45L5X0XLyNq5MPQXXJf9M0lQhCmvJI6cKYOSgtZsAmxj8Zcf
K28tI53Ce0ctj9RmytuKeNuGp0UROm4LRnfWJfOoPpqsX4xfU/IQzORwD4DgirUZw7cRsOX3Wu/3
tBikbExU4S2bzh7VCaGl36sk197zOHYuhPA8yqahynXUVaHDusmWlpV0Y/ROWJjz8KmRF9mnkxkZ
8BQnSr8SI4WMMc33vCMLrtR2+1o7Y/Zh+dT6tbDdH0GBjROBuwFRZ2F9jIMBwDvYC2DhJEtQSZ6W
OIKqz3LDmwN97LtHGlK6k53XjTjpXkXF+WKQdxXaNISCWWvXpAkbdJXr94uVeEySTmnsfCMpQun0
eFQMiarnZ+5TNFrmKZE1FxHDRbQpzInPMx89GYPiqD1VPCdtiYVEw0Kluvqo1dqzW2lfFtbOp1Jq
zRksaLQBcZdeb7XY/+00veiQFMH3xu6TNefjWYO8t86yhwmpdWPa2fCS1w6AdcOaX7Qo6cMMI8rB
qlMvIEMz0NEgX5y8sI6Ldr0fTGV+snLbPFRFp2+LOCnv4z4FRSnG/BO6YbdpJlMP2nJMGVV0TgcM
VjtmwzQOGmn2CcwmW+xJ0TbbsfXUa0kAaVn1izI/SkvjPtZJXVsV3JMP2ZXWXpEWI9lDK07n/Gr2
GkzSkVdrRDV4HE2x3JfSQfdx+m17ZSzIKaqDxDGMF+EXIGQ9vioSTWlpPCC2podRkTdFs834W90Z
KL2e7+OhsO6l23RhSTRtrSWVdxgMJI2s+ibysXFmnhkFUKot12j4nItlU6CaJWTTu6zaAYpmYPXi
Vy9JPnEpfXmorQSv3A1F5JuZHjfaX51sK5v6K3euNa1U5lRpW6zKJefwW+x1Uo6E/+Pbya0v88Cx
Myt3PVNWvgKHr7M3TkI+ssFg2PCAIcwWo3ykvGGHYyig3CbZLVlVBALw6UqwFSLAPLPI8sDEEg8m
mmpqO6U3N4Vl74ZsubUb1O/FcNgI8VfuOm/ONnYf40eWKmWYHIbszZVLSxlSnB09N80fTfZfT6Ji
YqwVESGnrI3t/1a1zr2R1X3o5n38riWJfWQE1jeKMsdt1aXd8y/H3P90HPP/IUA98yK9XjaOyX+c
tFy/l+/VX0BR/WWdDr+PhPzHH/5bJoTqL5QEYIK2wOTHZ+PvwHpX/w1HOjKfYaCfOvqVKfb3TIj+
G7/ishh2PBIjns/X8h+ZkGsIEx4VKrjBRPAvZUL8q5n/9wZ5rJUIA3DsoWhBUPtz6lK2mLDtyrDx
uKXfg+uc3FZspeM/ZRFPBlxPIZMxeEyNaDzpNakcBEMGf/8tmaDNM8keIN1f8sHZylRsDE0Ls1uV
tTf9BLPULcI4Go/JpF8YFLe8ITcgT7eZAq0KUieJ8ErIg9EGzuBtYLWEWVPdstfY0c+7zx3rwWnF
STjWlsXwgx0ZJ8LT1xzbHCebRfohHUSPniYf1RyFkYOGmsAtL/VV0f9UxeMSN2FWqq2YnY1rT0dX
ejQcl7fEGk6VPV+kZWMEqe4dgYq7LLSPcLzgBlrM6Al6LJT2yH7qnHjXTtldGQHechPyJZ1odyqi
5JIH+EMfuzsLYZqExPjWt/6T7rUvGcfYimvbFi/mnuQmq6z+AxgI653y1s6K8HfvvPu//rT+grx0
X6dV3/3b/6Kj4D/5IWIf5dHD+wzH+h/9sUvZml2ia3ZYNM2a6M2KFcRtPDV3Ylnu3BbPH2FE1GQX
lwbbfH4y//wL+OVZ/sO7CNesTrmCQ3TX1i3xp2hA2vgenezAX1H+2d+lt97QbmYdNPm44HTG8nJn
R+gfsADvs0ZdRu6lt2ShtH3pWOnKXX0tVt9ulIOEB6063bhGVIZRrW7ngpU8Fs2Aw1zb66C8StXp
AV0H5XoLgZxey5bJyZuKcLIQBOYC1alGAIx869DMRCgTN8Ic2JkfC83iHMIKmSrdqi7FxmAaP6zG
PDCeH71sOFQNHsq6YZPxrx+R/70aj3/4u67H8UfN+Z5Ctej+z6/eRXLOV0TeH/4j/BV2exi+2uX8
1VEV8PdE9vV3/nd/8W8R8v8iMmdY4hq1+sdn5O69Xd6r9z+cjn/9M387Gt3fBGxQ3XUFCfPf9yWS
VLcdy9F1HNjYsGEg/fvRaHFq+mQfCLO50DZ/Ufz+fjS6vxG+A8R5PW9/8f3+/s3/7UPE68bL+A/i
4e6fkwJMmKTJ4P5Ztu4Rff9TDio3TMj8eVKx+dK8Oz5+k7sp2YdsKsWoGnNVfBUQnvYVa0oaZxuc
1GLGKaWTGNm10B32Gd7CR9/m71iPbuZf6sGzXsypck+0mNnPqYi6I3czi+2Ylf2EcmKdsHnO+4r/
3TkljnHyyjiwr/O4/ZnPyhxWXcNOndy6+YSqhwUrBbH/jc5oHlvPKZ7wmk1Mr7p5wy3fuO8aK18P
VHWs+4TEUSy9eMVUnV2oFmDTBif5osskO8Kv2KRLT5mexnDFMscPwY97qyzriRe7WMBF7pmBlVnG
vi7omRUxSKoVlYnxieV9tU07HM72nBdrqxkoY/dmhr+eFSAliP1pYCO59iNO1ARTJFtf/RZKozyy
V9Zu5kK30VCS8WQzwG9GhMDHEUbJEfVYhZnrVKfGtDsAyZ0Rcksdz0WVwA3v6f6zCwx++SBOEWEj
Kj5mOMvz4L8aaGOgpbn8x65ph5rZ5HdFYbU7Qd8tGrKEgzH06p0FGCuTNKPoDkgtosT15gv+Azxg
L25aYAnPUS6/wfBKvOp926SAuPPpVe/n+NKP8fSykBx+8qMh+iL1w1XM9hRFzmlDritYcA+le0cf
cJWmLM+vwjlNVzZMbCQL5c5vGYA/e5NHdnpfeZgwU0wPBx8if9hKgjdrm2Vruq4H31/D6l8QkzVL
8wLNLtguyUFVt2yhym9jmTnxRsNky18bYteyfrjFhaqF0SyaR3brxdpu8P2xpvle5qx6UAlkdG12
rGNexPG6pKDyx5w5dFh4/vDDHbP0UsM+X3eNdjadTB6ycTK/MS+JFQRLCHjZ0Aw1j8BlfqAg7zNJ
vDch3OgoW0XUc3ajAx52sR6mip68PqP66wrHH3KEOFT5kRDROamxUqeqW25meAB3mDO3uL4BvVeU
iU5uPN6ONK29tx3Es4Wl+y5OveS2XWSOglWEZjxHOyLZLBAtZTkPEw+hu6mfFiYPZ76BryBeE6t1
QBOqUXvBupdeYllQ2J1P0xseGf19iuCGJwlerbrzvMNkNd069bEhOOIhnY3mbI1zGfhDMb5nVtNc
xGwl27YerFc5yhhE9GhBg7Ei9uE1C6SjXYL0Ij7TyFPcAeFY2ZZNMixh8FNuK+/EnHb3qSfljwhr
AI/lUh92JOLQX3SUkk0GBhM/55IFUWkbZxxgRkzYprTuqI6ddz08N75encIXFDBjuhBsdW9wwC5s
UrT6yH6IAo4+M+9S5XVHWQ1G2ANJuulGF4Og52bYXB0pnWOOD2QMo6I3vijMML48Z+m/wFQ0Rybd
uV3jDFJGIKhkDceqwklfdV2L3O/o03PaJlWzNbjYFkElhtxd+wuRGPhiSDCRlUFEtyjZWQ/VKI5m
5Q5hXTB/UNHMOVi7vS7WkgYP7xp7l2FvuQymCnzCqfcMVszYFK1X1zbhRESzs1RrwEAw/xfQDhGl
ZROiUZs6Hp9ONSW3PQvCFxjTcRkgPA8PszZWn2zAoHpGVWy+2aj0YlXJLnmdscDZmPhznIQuEhTZ
igJv4SuL2H5aJTjVng1Y6dj3jekFAqGqblK64jCAaPWy18gMVNu+9CwDR3qq/YxrTOkY8aX7MuCp
9UK/8BDWqdc7WvVyPbS5b3Awzjg/YYBW82Ywx2XYeqY+66vK9LVXJ5lhMyH3gRyh1YgeC4cQCXW0
aJosgtnRnaaC0ENIApWoLVGfRQWdNlG2vVQe+5LJFPUjqiXyxoT2TnIgarufOqQm8AbowMkBG4vZ
P0puh/SUqnIzlLJvQ5eKNKKiTbk86nEus4AOhuE1bWOHcAYYVzb7A2W+lBeym8gHzcEqAlAJmmph
ZLhJLSy1ZkEGgs5LZw8zE8Wks9L5u9Wc6ge7vg51pFuKgJjKFK/yuSnOae5GP4bJ746Fb3/j1Wsx
yPlne54pdFMw1lwub7WzGfTSvwGsNr8tBEzQx4fRebMHHZN5XObLXndiNMyUfNY2Nkb3HLGE9u4p
1+TuudilweYJF/PGz3Cch3CM+m1e+D1kO3dxpqDg8H1mhTofumiJLzrdWLBYC7p+paGT35ycdvpi
jT2QZ4Mci0GIpBvkFnHU8hHYa084oV315SD2mka/CUZGx3uRVMY8LTRlHqDuEYQqjYo3YE14btmq
KBq3EWmh56EbkmNeCgDtuaZnaVhR1/KCps3X7EIQv3Fs/ED0B6HNrLrE726IyTY/PCcr7X3qZgsL
QSh8hD59i/reVu8IBFX84IABYjTR9I4vUIxx8dloIwn/ucnUqdJGPjE9OdUf6BHDgTPUeNeNfvkx
gVPdF1Qcs0a7smBrrWIgmvir2abW8/AKJEM9dKOF3o4XmF2PENprgwniYC6e/lxWPQ+9cRbbKK38
S6xmrDXSLx5si4KO9TQLmjp7qzxaBSnKK151+uLQ7e+yyGZN47MCv4yjvZCfSa36Tctrufch8wOJ
t6T1KFJcyStORe0npnH4Z7S6tPjAiRRQLht5XBX8oS/eUzbJtP6NI3a4rF+IbmdUYjbbDLHrBRDo
8FhXevXlJoikP0jYoaa3y+SeYZcmUA6nhVdyzBSwv7zO72HssQ3oI8fsApu4yCHqS+vKM04epj5h
t9p5E+07tF4YmSp+8rMClqdmT16mrucpMLIKtW1DnfM2ua7xrZrq+ri5Soo50WH4jleeqNlo+kVm
2HYC2ozc2xGnCXtrdHuy9GnrD7dubLZLyFgNvStKRI9DJ+dfn1yzI6mQJ9FL5MwFcKAZ5T8teFUx
osrL0M3OQz+lPiavlJ971tL/RuuDOqr5St7RPbs7g8aV58lDNWUVopsbpzU8PvFxWhI/WJxbzLBW
E9g84XhniIUu7WwwNkZtDLh4xjwNM6X33GgNakM6FPQ7dAok3dirzHdlIJdpuMxKWKCdfnLamVfE
L/IGdvzMKyRtme4MjEjveVpYHwgxfFmxn/UXH1sRr2+yJGvXduMPj/vszikG/5Ky8d0mMCE5/HrK
HEElHYtFEEIkmKi22ZSJHU9aVg2lY5RssjJ9cQmZdP5tRCLkMNs9ywdluj0G1jTp3vAtERsqqDj5
LqRffkVDZt2ISIt/smuGbh13CPnmbJ0Sz9L3C3vMZfWvj4T/P5Y/Gg4XiH82NB7e24pRNf/j2PjX
P/W3sdH7TQiT64Xv+CZkBw855K+UFcZGVDSEMYuzmuzu7xQ1w/vNxrCh61DmjV+T478raobxm3BN
A1g8hwv/hyLlP82J/2xu/PPUSMOFR46X6RUAqEdnwB+1GKcTmnTZloTk/3cwru+cKP82PBZ8fU6h
e/8w1vl3YxOE+N2r9J+IQN4vbMjvRRi0QgZfwcMJ6/5VNvzjv8x111KOKobQQRD/imxXB3FkUzw3
idGI96auOFpTlEio8ammznNHkzuydaLwaHfy2xY+i6x8GYj5VTmo7dpb6gNuV645TcqjdR3HQDq5
CSzePQMIpL8BnXtjiYjIYUusSzmje6PFPQ1mALLVqlrYVxUsMFez095NMaYupM2PDMT3Gu/YhnJu
I2DbTmytqc5LWZarPtZDutV0NtzckmwEnLM1Gw5Q53m0ToQKjfsCWMjJ7bSrv3TO2Mh4GV2MHv9e
tMzdlhtb+bCIOuReAzUq64655KWYfWWoIJr15f+ydx7LlSvpdn4VheY4ASSABDDQHWxvaDY9ixNE
FQ28RyIBPL0+8JzoqD7Sva0b0kQhzbqji01ug8zfrPUtEKRZwg/riS0J+vPh3ZaG89R7HeSKTlnR
LbkW7ZVbkrpkJVPIxDFhC1ILlIuid9OVnafRc4LB5166w7jFhlhvIsT6Fj6Ku6lqnE1Y9fFrb0ZE
xmctKdXTzEXA2ckcQRtd/xWOIoDlVAVEf0VpH3z0tYayP2mJV6cNzCcO647/KPiObcLaju+7qqE3
4LLGGZALXIUraiG9900/PgvbZC+MaPtKgGFd24Yrb8akcG7NZMb1ILLJvTCF9NbUF+ZV0o048+oR
RFqkIy4gBk5M7RoWXBSfJXEBeEj3laPGqyH1+x26IIKn2JPu0qSfz+U41E9N6XuK7VFHh+jZbvUs
QL1uRE805MrLdA1n2ydV7RIJm9Dl2MkQR+QTuVqboWyKtdPVQU8IjHIOzICSZRJszs9FLvBkUYtA
GkAOYPUjgkh/uuXf6QaVWGl9ugZwvW2khhKsQR9cYqnRxZmDEblrhXVi7WJbPqpuwOvol1UKb2gw
q2zVAT3EJ+4hBK+i2n12J8RR2zmdZLihesasMvY+UIG2Q9RasWY5hkUHmy2q3Ppaqbh/a0rBFylr
zFdEl/Fn2Hv1O+9Mct9lZXDrEYkMnnnK8aIkjopf2Y7Bdk5I89sJFtRUn6Y1XLAy8VtmEVt477Kg
X0+557zhqOpOck6XlgVkOrXtkNIpMb6ZtviCxY5V7PQgqtm+L2HcNxttCdIhU4CqxWqB577jhpZA
yiNd3w2hFbx1fhW/tAnv3tbx2wq3FLU6UyGWtEOPr9JTyhoXHNr4s6j67klHAX2IQED5s0kYwa9q
EEUby2ppByTjeJMBVGN9GsxMH+K+Lp7Rxod3crS911JB6sarnIfGRmgbixzJmwhSrCGrt6pEAlDJ
xtl2E3ET1EFRDQaITE1SAGxFmAM1Xg8Orc3x9cvRE6solnLexiZMGSseUESyBGaK3CMsnbx5GPZx
Frf36OTIwwsiMz/PkMGpuyZ89BT+BSt35EDG7VRPSJaszM+e08kg9M80kbeuZelV76bZEgEAw6s4
UFNQmWEV9SZOQuEdVQmpeCXV4teqUz+9GEUeX0TvuWpNiBs8g5lQ1buEXvKZjxT7TC1ZGyDbl9vQ
ke1DhLFt49SOxmztFne5hVNvrjspVzVRbK92x3qGw8ycfmiyS944zPlEsXUY1FKehV+SMtUI1s0Q
pcDGx5q8JsMvxhmcgu6B1I78pQYOAhXRG5NrkQZAr4eSY2EI4fXTWczDje6lfs7NNkWmh08EnNwQ
oFMzRSB+JH03uOtIuS7qTssokcIgxbhOA6EuBgPNJ59hUrHuiNH1tyGS1leNGvKjiWYUu0W8SBAS
CFqIpQQoIvAG8exS+7VTdLRIgkc8btvZDToDM75UJt7JLTsx+1QNMor3XW73wWkyFD3GhJOmvm6r
IkGv1KQG05h2DNes89uOPLUy3HUlGjMEdx5KabtJEQzXcwSBxl5aAL44LRochDcYsCqjyLAX49HB
ITG54EHcjn9iuQgNxxa3Hm7Agh/x51OQDvW6Fn7IEKRt3zzcmvR2rfeMGKQ4DWg9zzOLVYN7bqk/
44kbNCvV9FL4Fode5Cf6BtqOX26LjJN6LjPJ+pngkWYFPMn7qEopH0YikrCTmVT1mnU2vkrltV+T
GuK7Vtp1vE7gI2zJ7dI3fqHJee4Q39pYkV9KsNIYUP0qWace104klzBBWc5nktiR2nmqO+NoxpDL
X/4TC+2N0nG4Up65ZLNQfv2KQje/cULV6a1i804Dbyfkm4qaefIhJFiGmBTlhz/NaELApWSfTVeV
nFjW+HKIX7D2Ez1T+HkCLXMcfczSFq9tDOPpdZmzPXL81hciAOi/zXH6UXE/X0mGcRgJc5H/KNRI
Lo3V4RxmByYJJxlSj+AIoQgNxgO5DGClYbZvWrn9xfGM4SYciQI2vQ6L66SNtR8m85PLg/TOVj5E
8otDBTZ/vhdI4mrg8ah/Vy1e0o8Z2V69dpvOc0nTRi2zfGjiLnEauj76lSNA1Cy/aobB++GqOP6a
s7CI11bc0DVZmBd449J4BsnZQwVzjvPo4HytIgJdJuxaP7ldkjuEC/HIsYW1cYRS0M75puprzPyr
psu8WzPkyqdbmp0REUWJa8iwWwfRoHI3I800DwGSgrEziJQRQXhTDdULriu0WS0NTJxa1Zps1Cne
URg0M4pHwxvOU+xI9DB2rAm5W/JoWT+muzoe8TiTk4FYP5zaraoNG4eD8N8b0dvnMmYstkLQGbWQ
JIPugJdKXinH+tHIsHnKRtv55WciyEHa8DXbBvSSZBYwaYuZsnj9ly8NLGKN8ga1dRLXvzdtGZEX
w5STHAJ8Ot0mHlXK02krulit7WWqOBSMGU0/zVB2YC6szmpwnBdNrjYUF+xtFEJMXdYOurJDm5sd
zlognNmKC976ajPcApzTefSatCWyYkM5461M8A5vzKkYtnECTI7FK1Cyq2wsphMJD8avMGmVv0qY
pkPCBUiyrt2sf7Mb3M4M9hPjLTJkJdd2N6U/R21zCgSigEVvYfl7KP0af2001NQmtOr6SWfa5DLG
At4R88vyfcVXAAltlqZTdD3Zpn1vlvns73ItNfzrOW9aAA74H3spvA8YOij3HdTcAXP2tqmDtd1b
codvPX7RIyGBrsFKfNWGsbXK8G+uGPGSAhuO5DpBmCJVpLeM98mK6h+muyZlqURmZ5CeEcz+Kur9
YuckDC1B+EAEmRkNjnUkblXKMoeJXbwp8KbD6Jk2BdPGQxS4Ixzj1Hfu0pp9vC5Kfye6NifyOnS4
cofwMoUuSjkPHeLOJ3IomNmE8k20v3TSpdt2SNjKtsR4XzzVtldpPGpmi2nu3c/WlFRbsw/iB2Oy
imuhNO8fD8XzCC6fMA4bIM3e79LphRTR7rFr+4WQMbvjtGGY0Vkra6rVF5o59e7EqEdJq+iWiGk7
NOHG0d182T7+eJY3eN+deqq4YjvhILykB8eaC/gjEnwLcUjoMt5YatJfiYG+up6b4kHPHCqrugxr
tUFwh6SeKTCa/LDvR3FQTKaI1MnG6cTiCDkowyyCMiZuWpP8OFwrDoowrrGyyW8Kqvlik5FkYB7d
Nm+3kSWThzpjIVIxjIaMgJUHN/TsI56HTaUFEUVVkIIJdBulESGUEgtyHg7c91OCQdOL0VVUxB/Y
QJomKkEuypyFfTvkzqayGhKzIwwR+JDrhgrJcCbeWs+pnqy+KHYw7zKYjFltnqHyxMO27xYKfkRC
x8ukfKaFi5byM/Mi7BqNF1IVlUZBiWhJUh9XkRbVs0kM6KPuTP9D4AA+QPMf6yM4pfK1pDOumOy2
6c8Uub65o411b/WUTdbKNso8WOG5ss5BNFAeBmUwYeRnhm9vBh06HA4OsmGu4aq5a7+R0X3B15BB
PR41qQzanM5pzQvrsMY6MycHPT2xXXv0ytZmvp5/kvIDojpDzYzw7xtdPRRGGh3cBWvNTNa9gZZL
CRn3rHlOSeGbJ6Jr+MKFPPnHPnXbS4fyDNV05kBncFzavGEk/jsRjnnUfoR13KjSD3SVpOyAvbbO
dMnuHXZromcImtdNdSyEmG/GOMPuTU5aT/O1rWyNaMrJCdNB9y2sSDB0l7cdD8BtAqkTL1lf47iH
UFF5lB9tNXQxIK4+g9xIqiZGqXQDfEgBh9YmfJw22ZeNVd5h1CsuxdTChbKoGuEYTG3Ir5mc/Koq
rWRrIIheERNBccFi7tYO3G6HCvTAusdap9SXUZfpSylb89ksi2VcSbTPpmi7lxK36bpPhLwfYLZv
ya2Zdm453nqxMeqNcJXE3z8GR7whQI01juyBEyow2dA2ydkisBhtb+LPW7PNS0ZgVXCaB5yF6yoM
cCdzeH+Sw7tvcJ9+QVjILtGA2q4fyuBHZQz+yUOZ/ioaGX34XKBrjzeI7WzFP2GMj+0oYaC55f8x
My6ztD0PxWmN5nyIu/qxaHuTjViIDVazVnpcwtDOeViq1UBA8sGT8fCELDB7C0l4JijOnIyvQXll
92ZntEEUAMkgdmUIZ3zfpgAAOEnFuOkX4Am5mXX+YVh9ezUBcCGBJw64wNLRMqkG6inTu3ygmsxS
P7hDleCnO8tv1E65mhyR2KwZIipMNGy/LSqFTbbcmViy2YnaNTAXVCi2zjbUSN2p/j52ev60H70k
12uhloXmZhwNvhQDyyX34Ba0CSA0bRgIooLpvq49ha3HLi351mOF/azdRIQbRwTZtPFZzB6DIRiD
A4gmSO1Y7ymiGdfLTz9CMZwwyTl3utM3IFpnHD1mTGGqrBSDZOFAeHOiJgEQ4FSHXtn2vdObRLBE
vsmRGPq4kAjBiMCV1R3a7qTwJpd0uJDmPM3LQazkIMwr1da4XfqB6qn32ZXvKmPs3xnO+/3+/89H
/1c41Ghd7P8w4uGQFD/f45/5f7m0Pz8+u/if1DV//vBfY9LgD9P08W7R1Dkg2X4THrrobpDbMCS1
v4MbmFH+JTy07T+Ei7IYMRe+MYHO5h9jUoQ3PIvSD2zG+d73//SfGJMKe9GE/T6uNJeZq4Ui0mKK
a4lFbvk7WlRAT0Pi0Pv7MgxLuBId9qkuMJA1GFPzzsSedY4ZB8+6cf29NHSxKpyw33g6DY9CNlCy
AGIdWMqJTUUaLmk4xd4p+vQtbzNvV82yFljBsua96fE/Bh1gsFxP0Y2BJeveD2JjVyke0pWFTOWD
KgxsQdx597XhJpoBRO28h3lVEM3kyHg3GMVuCtR1kjr5GTqrhbBB9sdmjo5Sou1GYW7ukjq4NVXS
HGr4S68yaoKPzJBw3AHOhPuW7IUdzzYu3DzNx48lbuhNuaE6zV2KX1GOPaq0Kj64TjDtJ2GSVzg2
OMxEfo1b0b9lxqK3k0grEIGmBe1ELWwCh3Wx6uaLBhWFQ3OkxCxsOe3DvARqMPMAPw1zVX1SNstr
TMg2UCz1iIYueMFt4l9sDxf7SrhDwrtahey6kgqrJN0VNU0YdyzepoJBmk+tsO4rkb12ajJPCHz6
U5mJd7hH0AYBEl0lMaLvxPO7hxzjzNGGGAvYdzaZDmRe8ovpm/FCuKF/bpLOuYrI/PxVM0yM6I1c
DnEu0uuCle9rxebumg+c1wmBYkW6FkWO6dxo5FLlxgMnt55YjG6JrvoanazcsOcmczQfhuLUZEs8
O3slvLvAFvEqKJQ3gvgdTzq8UUb54BSCgIY5DDaxr8zXIYLH38i8OQQuOvxaZdYiS+oONXmDGzSF
vPSIqUYaYSQc8BvUlFJ2inc0fPaRIGxcTGSPBMUz0OyYJfVzbP8Y0agclIC9MDhecZssUarr1o81
xygRWS2W140XdludeYKxmWy3ILg+BW8J07+ydm8sa0iPqqFEzEMwm71ZXOlqDj7c2omeRsb58Ofs
4nkaRX7y41BCiSobhtxj0KAIgjTN1EHcof4iasoIDGcjK6clshy/2kfndLeB0zI2gse3IzFB3Mz2
VOxSLccbFAkKb6bgW8uUJ3/KCTVpNiMR6Duj4D0LUgsGCJXX24wJ6Gz4fn2PpsA7z0SE7Sa9FFdj
+tE4S7AFfrF68rznrB4JmCgQDbTohd12SjfazXCHsDh+AjsW3MS8un7tGgNFR6iR/zRxGt30zI8u
9ozCvo/JT+EpmxH7lLo1952NAJeIJ4wXU0qNUbjluz9nXYAjyWgOhts6O6Ak/hZ2wWVW1XtnjSdC
YOnOTWogaD+7FgRgMdj1wW+oT1G4PsaNsYmsUgB5Zka5FrH8V3hZeznV/nbqERnLOc2ihrThv6+H
Qi/1dNVxHCC2IHcEvxK1Z13j4OTrWNboXavFaCi2dle+5mNOLHDVtODCZovmL6IQOvfzoL8YY6hN
GZf5OcBxUazpjLKrKrLL1wrg9q7zYHBuifF1im3ft7B/uKSz++D7ec6+n22bPCrnWPJcyCPJefZJ
u5OawLXaMEkU8VNv//GCynMWGfLvr92yyb9ZcsVdlkxcPn878Sejd/AmRObecqMHnIGgczL7AbDK
m0nturKqTGFnjRpy+JRH7iOf8c6niOfb0MItWzHlb62tO5NFjBwoHFnxu3rTpvnwySY9eoyLcTp6
jT447LUae26oq1T75nf9ropRBLhldxJkgeLASt6bZmQjM1vFZcSjf0RQ2sCgydUpsLr4JJqicNZd
BlwAIqB9LIfWlmszM/st76NYhzpLN4McML0EY3FRng7eKj8r36bBHHZYm8pforDVDSFpzU1OR7aL
9eJ+77X3WhlteJSFTRdeJMM9/9XbtbNKXgE5xCfaBEICg54MSvgPe413d19JbV/RXk5HSG1wqugd
QmzoInrADpXSwc5Rt+bP1gg0s3iXkWa+p2UiBYVLdpvbmSLujzNy23Zh+9wL1yKwNaif2Y4xMEUC
8oU7IQImkmVnBYIXB72bnhG14LFDOe0+G9CJbxlGGA92p8UBwxU27tk3q0/oO+OzNCqC5ryqvMRh
015w/g0nc8ZUZVtOfBU2ZntA2XksWn/TD7G/8aq2Xzf+Yo322ETcCa313bgYmQa9RCnGTM33sYNq
lTEBzumpaR8UrN81dTNCgMoSv5zaDumlnYrQFFxYfaqZjc+uhuoLy+0Nn5O+nm3RX80MIEBldeO5
jHx5VfjEbyIsSK48d0LJ03q+DZggZc0XYe9bm+0AaBTH0i06K5hkiH6b/WhFE+W6zDeuYwPSa3GS
BcOcXRi9VtdynBdHcIlYJbLr0yi94C5eThEcwJQr3tHA6dZiMJ9E/JCzHGl0XgAOm67HDtdRCsGJ
fs5DwMZR1S1nVkSILCQ/zjE7suK7YjaMLyCN5fuwnHU5WcGVbsXKGZJ+VXa5u2e1ycGovg9JTgpn
o5aTs13OUOANnDO4ZGcOgpgxF+iq4GZaTt5xOYNb4YynUlecubVopleaR6ZFeuJEt6rmfvCa6jyb
lnpzEf9tqtzzWDG0Yld8Xwzpckd4y21h5RYYiGy5Q5ooS8BmI6BL1kCPuYLMoKavD4ypR1tpNd7j
ZFbuLeQkJ9yMy72GptAGAgSLzN0znmhPxkACdbfck4otxib9vkHLOvJ/6RrfKNZP1cPQEUl9rhni
cIb2RXOowkzvwxiePEzE5UqfzY4Plske41Y3GXZW0XiE7HZ8RLSSVA3TUkAYVBLzUlLAIae4yKRO
wX147iZe6g6T8jEM4mYti2VTGub01KGhxnORW/UGROl4DFkWw5WACFJT+mxgJafHVCmB+9iPnY01
BPBDxgokFUqY7NoVXXokSru/TqNCvMSVdG76jnlrOeF7gHoddzukyMFnM9fiMqJ5fB9yNVySbkqe
DJWSoMvurttEpvKOPbHGCAtaY9wUyNkQ4wSa0WgS2zfSsNUBh0+GsZ4f5dwQtITU9i6Thzo+1cy0
b3o1sB6rtdf+Gtvh1ZR1vQl8YxH+2aa7K0Lf2vuojB69iBee0jUcIW2yZ4tBOC2Ld0audeeykMgc
4+LOJGeyn3AeirSSF8DA7prtA9+PIqkea5zeyapirnC0jSTtGVjGZbmKBz/l4q3VGgAhC3tJ97yV
gw4OFJbmL1b36h2+FrtDXJsAZSYetB1xpK65IvaMJUZk8TYy7XP3Wco7vs5HmcCAqNHjtb5xCpoB
D3w6jqfUQ6CIs74NNjUDirskMswfFozqGarHIzDQYg3akDFMGSanGJDQyJvmyzuIkdlbarMuJn3V
ZX7XFv2vCK3dW60wLZuekwPvzsI9/+SXiZ1+y1/kbntiPM6iDvjyG16fc5WbyZ3RgBYu7XyxUKOY
7hhASueS8DLCLC3XLmtsn60iZuf50xQG2tC+ImGMM9Emn9JMK1KO+4b1ojBfqy5z8Ll36tq1kYdF
bKi2Gms3P+zNUE/ItF7BeGy2KFXQlNMDrPJAngLT+Sp08GsaKxtmLsGZANyr8oj5y+dp1xTlZdpE
9yijpz0nD4V1mJnP6ZhsMEsWz5ZTi1ensdRhUHn9ol03fSF+t/3MeN43Aebhw9CTrxOYz7bMZY6P
wJVH16muyZO4TVH4UvQvMoRxlNuMWQ1zvJyo5q05sDxCX1tJ8kxqpz4Susm9G2buCc2jfZj7Ot1a
rTv9gItVQ5jA98psGrd7LMN30SbOPpI+KEavWsr6uWRQjO9yXsPfAlAZh/vAaYydtCDAJW2RnOtJ
RNOZsInqXhqDeIzpX4i7IVvnkw025aKddf5VCZGPrNPITh/KWiPcnjVQqbTIip2XOjWScKTuQVqD
ijZCV0Lgg7vN/+uQ/CQcFlq6V7ckmkJqT/2O186W/6iVn57ZJfdr1hH4EUiRziFURs1tJgkzLWGm
bnWQd/s6nEcaJ9teIeKYjiOwrH3C1HfFns57LagEEzQoU3AN+5FBX21XO9tS3lvcJNZeDAk4G9/I
FHvxiae2nUwA1WWcMiavumOadz9wL1zPnvm1zC+2uNetn/1geLc4Wrge60eWXA6SRWxJ9yJqp2Kv
k2T+SNkFrrBPPxck3rG14W4HpGptQPsuspSmW00QzPemkmjusHg89xFwPSQ6HMVNO7QcSUO/iSBX
3NVeWAjA7gHf77z0+0fGE/OjrBUEnMxkAWl57hUDenwVFa/5kpeVYF+NbMMII3mNxF7cKZ30rJH7
1i/3gRcYDy5X9cW2Sv0F/DrsFlxFjbBJRHMsbw05OYc2ySiLjPK6QP3omA3EqQ5SC6TedI/ip+EU
QQrgsrnbFO7HRFpzCv2qRCtuTDkbmgBySo1nAyf/fENBeO7FcOOa6tXP3qr5ntwE5M8oHptSpF+p
G91kWQHkihifO88Nmx98v7i8EN7f6tkDrx6X9as5DOilk5wpBBQuo90Ty6l+zG6nn2QR2D9w87sv
EqE9S9HOOXbIiE/cBDGZu+DwfLaJUFHzYlsaINTTNDr2bYr80ksWrZSK73C6yPuJleWbi2wWZUFU
HFsii9fIT5y1V2ZufvD91p25T73xFVmkXCNbtWzQDSI+RI5bHPNkarYO8ld2NPBiScap965RzftF
zYK3ukoPTuXSyMZUslMOBWVIrPFADQn7zqmA865a2wwvbg62ik0tRKVcOdtMWPETjKJkP6CyQmyh
moPvtMEBCEGMxTlhE8EIlaRbtyCtOirm7QDG+5WE3sVhMpILVCbFfVRyiEJiMeYdwqGRnXaMWcHK
nnJjqk+ZA90hC2sKsoyAUdCe9Px40x4DhLLbWdXAtzkzwA9Neb11k8oT6z43NAvYLuMJzEqTA3tG
f4JllSeLP6Va90HBTwx9wQ4R6u3zVEIENDADvRM+bh/ijBOCyCQ0L72ceFSS4lAK9qd9WbYrFD0p
0UIVp5nWjQa+5G4m0szOwgrD6xJdN7i4Xy6DmTQzj1HFT8ThGc4wIfNsdLeqQmlW+M469rS5zd15
OjHhQz7UBvf05WvWvZr3toDJzjK9uI4z0a8LPXhgR4x5m4xuTJsEX2TV+ll+jn3X4y0IraNuK+tj
VgNLCNGVX3GoxxVhQMnRtyeDpIYQrqkd4iIqyzQjiaPKfsCYx0HfZITSO8YQXJcU2hd6lf7MNlkd
zUkyWXKJ+nlODWcgkTmpf2AABQ1a5ygNl90eZNb0UCNNP5h2ku+doW2uSrvsDl2i14jW1uaYAs0R
TjBjGkmtPU+Y/dTTrl16I41BX3ntNimYfcTYwywkeJiPYM0L9zR2h8nn/VTsKXDRrTFW+PeiHAIE
xF76LNlSH5ssz6+8pPMhoBjuMdTpJbKlVv9CrCn+Z62w63xrUU1AvMHfEo8IdBBhSAzv3iBYaes6
y5A+Gkg2aFzIQPCm6X/tfIweI1myKm+R31ebOK6NO7yG0y+4C3W7zR033gLlRSAVLfNKZjo2zL3A
hAFtxbNjrMrvCacpFctef2RAOAEYPUHzdgiEoUM0/jQC/z/MAiC/drFb//sm14v6UO/xZ9tOv0/i
//qxPyfxviB32SFl2DFJ9sGzyqf9l2CZSTwwG4wTf1r5f89dln94jsDnj6RXIk12kPP+5XO1sMCi
eoZaYyOPJznS+t8SLLNi8x3s22Rigd/x/xau5JK0aqpawTf33R8hRRkOh3IFdtJjXg7tguglTujA
u6pL+/23d+ry5+jnd+P631cA8m+/+m++dZGSipGZXbPFI6uQ/nUZTcV8qLPwlwZi+68euuWV/D5/
8gRoKZultGtKxwEY9M8bhzQcUtk71EhDStUcNWG/hvJCaIAvsh18wFczStM9n3SzzXPw5IE3QOup
8asNUr0OFU4hZ46eKfsuU+9du+kIxziHWWqGL81i/80avA5JlZ4tTqx/ZfIX/+Ofj7OZDhQyhUsi
23fW4W+RdKJFkgrt0tkidakOqOwY1FS90a6gZU9bg+kHU18SLdAajyCm0uTBCd1bMTbEAjNaXpmq
ec1mGYGGN38YDokbtrMnQuhX5KFjjIvk2DeIMcGVditR6HRV+vPMsJvtC5lEzdqfmmPUCPPRKE00
cSHOfFqlzTREK29G92wSGZCgy43vHTc9RJP+RV4gE4F4OyCkGMOhJ4Y5u/Pi7L5G0Oo0H0gA1Ir+
5m1MxnmPP2va4Bfyrqs2QJpDJsox8JU6ModlF4Iab+P6vBgSRJ6d1rL3zPKiR5mZd6WRM/8P+M0o
gPIrtGjTT0J/sICwEGGt07dnCNToE5rS9JhLB+3GsRR0qdbTWIh1A5Msi3Y0Y+OGuX5wcgwdXvl+
Nq+cIO0umqTKw1x05anvKv/NNoW3jsqkuvXJNuHAhXOOFVq+jaBotq6Oxa/anYdPWkMgZNZZE+x4
o02E1vhvILGm9sLvlWI+lYpfgUYO+Vhp7YzSqz/gK34kUSWP6BxguIpG7xim3hldjYVqik9hlv/A
BntqnOCJG0NgZWzWbje1B4sN8bpOw+SgizAlTbprri1fbEdVPSJQKK/+44dXLH6C3x8naCGOwyPs
8JUUwErcf36cCB+2Gpjz1lblecn0kNa/XNdND2qi9KN6Lzm6HrEyjldzrIy3GKAey3+/YaWTNNWV
79lPFNjrmWjssyY84HME2PVAknS+x2vYrWXQmfexXWUv3Nbq2htD8+v7Jfyfvq7+XSjD70yGf/u/
CXAjyR387dNe2BB/MR9ufhaf/+2/nj/bn/nP3y80688f+Wu17P3BpUOMooVFkLBYiwXyPxw4nK+k
uP91n3l8Kf5aLVviD89EIkvioe17EjDcPy40/w98oCb7kCWXOODLJP8zF5qQS8Tw799MLwgk9BBT
YPfBUCL/dq9w9hk6yywwBGGPG6ZC+KcqZr5rRgzqqkwxSdBIiLMk6+MAtb4/4tLLQPAXQU2BbPQv
jkauyAEYp6+yplBCTVFWxzy0JKgoPyNmr2EWuGMC5N+acS/94yClTq5at6nendlV565kBnBS1F5I
BatEDbsIGGiydug/s22P3IYuJalTxtvIhKFN5dEHmz+3oC73pb3x7bTVRNTZcbOahnHkGcHC8YQ3
PCWvDkXqlTub4XnumlaxAjTlSzNr8RJ6wn/sYkPfslBjczIsPhJZmhEHkU/eS5LFnb/ycdWdhJXN
N0TVleMKQiajZOiJznASyBTNLSDV1jjJKRYPZolSd5cR4J6zdJ5hBWeRhQ9Iu6ZHUFYWj+Ft7GHS
37rxrAiuKBwmPh1Tbn0rh8Lrrsir6jv0jnQH67rKcPrSqI6k8qBVI4soLeqvRo/VlVBGwjAtmdqr
akpNl0U3O6q1tBcZt6PTCX0faxXmZCKJd0j68p6er2eJoQPWerQndfae0YrWx8lSOTntXcYvcBgJ
vZoIG28zDvcDn4zziF51OExhON2gFw8ugkoHcHqQtuO268zqSdg202Gi48ZwL6M2OxFxAPiUfmSE
mJF5d1hB5DvaGTvZKupr1Alq5K3xycJA853KfKvcTrw0KlEvqM8ctkK4jH2AHnj+147nNee0UKyj
4wK2duo3zKtqZKD66Ix9PAEAiFAHf6tz3G+ljlpEOziBq4O7CHm6b03PsMh7kC8x1iVyB4NSBkn9
ho1YjFQPUVCkLPnpfCuFwtllzYkRAAVRF87B0RmMdNo03xojFlgW/w7hUfOtQSqkaRPdOAegmeW3
Tkl/a5amb/3S9K1lUt+6JjUgcWq+1U6ohbtT589jhgFi0UORCog2inQa9SW/FVPInsoQ+uuipMLZ
ywpXLAKr8FtrZdpleFcsAizxrcXC18EzqL81Whjp0GtFAulWk8vsQ33ruXBKQLsNXdVusKkgvGdY
G/sgguy+eAiChHQvJK5MQ4ESCvS0aBDT53oObnJPjVsoK9rD2C6D+mwKtOngr0A2IzA5mJ2ZPpdC
k3dUTvPWS5z5Kgq6HF026rJmFGGzTjLt6espKHvrzmqT6rnVjD4HYqQsd9AACW1mlSeHSJiHKE63
fd5Nwz4NEcazCFuA21nqXpvKT7CT+6Wp+QWsa1cmCNT6lw3C4EoMLA4oQPmenAwRZtOz6/iYYJuJ
LSPQi2mU2W5QcIzZYw0pU/wizZJfodHE91qV8ldGacOQNOrJFtLMrObbJPvv7J3JktxIlmV/pT+g
EaKYga3Nk89OnzYQdzqpmAEFFOPX14FFZFVmTVK5aelFLVMiGOkkzQDV9849NzentclXptuFbs1G
BzRyhC1m42gHR49J+4ygFnTxxjCM9EVz0CXYZGsXDG4ESGXkEVsdkWA98ZhfRW1M5Au+g6G0odRn
Ndbnsl1ad0RGeRbeV5JXNnR2x3TJdfndrv7vv904smKs71ur13uzxn7xvy/3/wlBZiG04dX6X99Y
Hz+pO9TxZ/n37/e/ftVf73deyABgoeNgcriKlP56vXvhH85SKIwR7V+NTX8jx8QfizCJQ6kHUWvZ
y/b/r/uqZf/BSdFFWWfbnACE6/4zr/fA+/cHT1KuaKM8PK8sCvzg+vr/u4tQJerRKA3d7kTBUHZv
RGMb3Vi5ywO7ZXNA9ZvkNd2OfUuhXJry9lcctkskN1lx2zYhjU2FBYdkoRrbDdRsXjwVZsmanRgv
KH9oakabg8u5Ou0Kq7vwEFwmhTYBM+UPej8xvhxggep5SyLWoKESlOuGp0nTbBI2PkfUDYxnuq4o
OAVDl79jCYC8Reg5yi14NEM8tig9ZugykhdSAN4Xdhn88T6WhbEPWUdllGoo4pTbop4zDDRUcdSI
lR57q1Y/QTGNz6kc8+KHyCPvq6AS5c3qJLmPyepS3kX0N8QcOFr53Qs/fUUugRkGpwkXPTZ9GYXt
fTE+tYJCgGRyG+sifNW9o5GK4Oin8d0OnBHbQCnq24Q1udgUpQlo4JV65h1jWTD9uTbseeOlUuWr
vmDlteqbRXPAyLO+KxpTUTdromKqmR7LT1FSssPdeMKGNzBSkJSngLV43HXfA20ystVDjMbfQe9w
alt7wamKvps3BrZf+xyw4+IOWMI+08paNmuawbvXrtMps0CtW34DWc5QiyKtYqfSMv2ydZchInTq
+zxpnO/YNMcfYeeyy+2maC7ZCqnyVIP30/RdD6R486F+4YqX7/s5IDpSuJxOVuWkgE0EqYKXuJP6
Rak6k7QLhfg21exUj6YnU8VmvR1f+kHn97hy4ofMRIuwiyYdHuJEt3tbjPItlaPvLqQdiNwmKTvs
y4Hfza+drvvm5JmDaWDXHw1z1xmsGw9MSNNPt+XuvGKzKO2z6dfMi90GMJBZeI9lRAjx3KpFfAHA
O9E+6KSq54TV6oX38Tl5hlPQvnRYZQgWUfj3zgAkuKRJiCUjCZuo2/Y6Kmo+sDgPwV28IaTnOCkR
LhaLQ4P5p42iRxUy2wjY7r3Di+PC0YOFC0WTP7K0dVch2Tc6XsqW/pOwL+b7KNV2/kjjZcXdmPdh
ojz7noGkPo+9iJt93pILXZmE4t9Lq8vOvk+XDw11VLlAuvkbsywC8KzO1qckYjfKzHeJo1AHtw3L
ynsPZcpwqDATk6xWh/aCNUwXAr/UVr6DDG0YUY863VVN3O1EJWgpHGbDnqAmtHx0ECbDYMRp+CaG
RL2mIg++vD5wzv7Qs99HTY/3jOTDml3Fa4cFLSedMsB4atP59N3EE3fS4Ya+JWiKpjiEmLtT5Uxl
etZ1zqnpHSq15ryP0p3d1N2byyn2CxSDPuvcn4IcKe6I3NXK5s4+4JWfACTRokAWiB78O6KAJz4j
IeTWUSV+x6Kdy1i/HjmnxBSEdFJsk4wDAqF8IJcJEt3cWLUFUhMGZhQjWgmWeY7QU7DKREikuuYD
+1k5RvKZGbURHawwzr8nhdQj5ZR4KfmGzytftPHPxvOqWx9D134URLLjsGMmze7R+dl0RXoXTL7n
ED/xkuZWdlX/Ycx04qZ0Xa1NUYUX1OnyB5+olENjyKeybOZqx8tkes+6KQcMCWiXaQSaX44/0tq7
pi6ZmPj9z7Rxxr0v26WFcWJ/FY/ZiJ7bJO1YaLP3LsgD5iceNm7xTC9l9BmkGKMsyQdi5/kKxRXh
j7cEF1e3AirGLy7ywnhVYqTwkL6s36A6M57IFGnaSpFNYyHmS5wkVvWtbUViMVOJJfZcYLPgxRkN
9qOYiGyD9FuLTIS+Br5mA9fYdq1LyKKbxp8op4oq9zlArkOJwtBRStbxTXHaVlMVk1bx2XaTD6nN
4kB5l7XSVt195mNXU73XI7FpqZlAT0XjBI+zgqSCQk8+4Okk+Usie8sxjEq2xUF1oDGqvA8zw0Ku
Nk/9EaO1e/RzNb9pDrM1dctDsDXZ/ZaHJtJO8iRomQFYBQB+Ua0HZNjFQc6ZL7SP2WjRcZI5c83j
iO6fbzZ4/h0GbvvDMPri3ppMVsh49F5yOQbJPdgLlUPgZq5HxHUoP2hzGw9lTgp13Q118u11Hrb0
pKmCrTGrED89ni7/WRpd/3v0E6vY0I2kPmAygW80JrF4HSHrWjsG8fN1MqKqJmrvF1uKNEAR3H6C
WHDn6L5r+llw/I5kvwm0z1PLMUzvtfU8hxd3Fh0EOMbOKsJ87YTR8JSFPnIiwwJRI2qLfwWWtTaD
nlpshGFRhrKxndphYb0qAteOU1DcvXwPDa7EfnlxwfxokPMeu5xEme2p10oyAo8kai025gFbSDc6
J3bTlQAMzvcYp+zk4jBYW27NTravUfZNyUfGQQ5w2f+F8O2LDhxjbyZcR3UkC6AHYvQco+XovOos
UfTW1TyJV7Hb0qRKgdtgHx3Pzez1RCq6Pg5OBDfMgrVyUDt4SJVkPuHnkX7eUTTZBM24GuPgm+wV
bm3L1OZLXAcGG1yhE5dmpTwYb2c+Pt8R0Xra4DD4rJ04LzSm/7a6OJp40ByK9JDJ1NhadJnwWcn7
M7VuoHp8IdpNjiLxWOkcFVaa+o8Z1Rg7OqPzDdfJ7GcRJNbvIIn0ex7QBjDOU/tlKIQXTJudZDOA
rGAEcCPkwoQy2WeicthmBCpxiVBu5F2mtDKMH06cAMYg1k2qdZB1qtxYKkEzrwIy+duCDwyewjqN
J5zC2qaOq0GVWS/STGX2c8K6ngD1ltQv4SOGzOkxnO32V7AM5kH3UHQ6i62zKFoIE54Ivb8j6Rzc
zVe7z1w24c0w1+FFXA1A2uzir6Ju0QI1jYH4jOK1r9rS0EM6rKYPRsDIhCZiCmSCjGDmaUF+xt+X
VwGRpvLCOxLdnvfF1VNEnU96Y1IbSoAzs304hJFmsaKhpsWqAvJWntW+cIjChZQxJfvZqql567CI
nGhJD4DXaD+A35qy8VYyHOdNEjbCWPtX8VJrm+ld5y86Jttz9ab2jHjemGC+HpXnWJ3AZkEcOh52
UFMs1jm6+CrntboooazFDuXmfE3X0FoBrEPu4VKcK9CdJZzlEgg4Bobvv6WD6tIDsyf10Ke1rDaA
8UiququwilX5lNw1VLPcgHBR/m0DuX2y2lIPVl14j1ELS7KKLE/jwyICWfOstPic9C731szOO7Hr
23RDehBJyNW0ZXAwfcAzOpwpeiXfRnoWNRePcfcFxcjMM7KKp3pPeXgG33TVe0k3rX6xKKF8I7uq
wORw1YJdFWHRYgvjoBA9Mk+b5AUNIx72SkFG87Wh92aboVNEIqcWvyUPaMxkGOX1C3pOfGXRoi7r
EE2cy67vt3wFml9o4MzHISO5tjEX81m8ONAsJcIXa/GiWX0Y/uoI5/6YjGA4B4s/DfgCdwJtQvPD
UKUdFgiT44KjtOWsC3Kze+qkSFsPhQiOopTTK+BDPkN1IHDzHFFrJm4O8mOZizQDKE6Q4TlXHxzt
HDVlXTQM0sNhUOfNfBHx2oFiUdRyV8tc1cf2kWi1R9kpJAk0V8zbbeXEsSIxYiOFPM2LxY7rOsue
zllcd0lKq/Kmo3Ptd1/2xc+2CQLYGAYM1pa8jnxxaDeN1148jI0JaYvGlgkFHbynBJ4Oq4GR1unO
nQfI8pWJ88b4rJrWR49v5UG1CefcTY8xYRU9sgvgurNhHloFb2oczODRJVXZ7kM+abVDPJRkEh2E
3SdxRhANSaHqoNGsMQn00SOigdiP5HWOdHVZfDBnzBmXmIAm7Wq2gz9opriBsF7lB2xi3GfB+4ZS
y2iKHrCxKMgiKgao8cygaa1L7gBM7OMCz/m2CGS3xdQrkIzbRU8Ag3gvQYZkVSJ+UDfxXHE8qpnz
OhvLrAt4TnJ90ck12z6+Cwa/8wi1R9FwSNtEb8beLR+YrCjjEricSZ4nhL7zPiTrb+/acY6To4uQ
PX1LZN0UB7eJpmlXZ8HUfhTzJD7DJM0QitDIFX1knoSE8kfYPw5J2o4kf+8DKBx5lJZjZjMirTUt
Ch/ipa1KfNhe3+p1o6GY1yqqrU2UuFMIDleBzmeB2Z2cqTCbrUXtzQHsJ9tr4EiXY6A3PsUlWeQj
Bt9U7OKmZgRE5x2FBJUD6byG+a70lg5HSifQOhkbLQdvj780jE52g1Nwh1OFdxfslh+dStVNylol
mhQnRb5ekW0RFgCkjRnH7VqNU3FDgxTLNiZaLmNVb9BBfcLmN0GGEuHC1esWfvzCS8prl7lpyTFH
DMOlH2wScUCwbV/8iIG90i/09331IDs9bUqvxnhA2zJ1iaL1epTkYfiecrhb1IC69jctvx0i2U0y
zQdTBggZYnge+OCI7exqhuXc+dYyxJuDxjgnRfYepsA1K2XW8j7OmEKTVas/DHsMYa/FfJ+28jHt
leg2UGfENvNwwLgz2326z0YPZJgmNnW2dMFrqsQr9HtOOOsdTZ9GJFaSwxK4zOPp5yQb2z62gwnX
kom+PSnVd0+dqQD1PUlExnInagZtZVBX4+SPnYQl3pATz85y5BvLqYXlG3nPyfXWGAP7r9YPupzT
Oysd3kJNQTEPV+H8kLTYQCl0QpLZ4rHi7yOYUxeQXJp3k2fn1g0bjF5u+NUC5WHZC2NDGID66aqI
R7RejWD1Kkv/W/HoT7ajstofrelwY8rSuvksAHGPVHMaNFj6Ech93hJaLmYTQpWcR76ZC9e+I4Jg
P6qkcvasSopjak1i/rJN/ji8wWvOfC71M3/y4cFBBsSvr3yz2g5ze6xFOX7KVsiXaUr066SkTvdm
alqn3jYXzU844XENzPydHj8fzrAhUg41aooChNGlHrpESZPfhl1HjGS2WQ0RgIrHF+D28Bx484Sv
MVs2S2UQDVTCc9nH+RHRDq8xV8KYJ6noN0CeZBYdFXp/4gD/z1aXy//R/28++ZCR3n83uLz5/I6n
z//znwVf//yl/4rb8NB0WEuyAGQH9Y9+QNNmKuIEC0CzbKz/ml5a3h/XPWbAzFPAVIb8IH+bXpp/
EA5kssmUxHYDG1brn8i9MhLlP/UP20miT55nelD2ng9x8x/KEkyoyTmb290StXM2osGLxIs2vmPg
Ll5wfZqvATdlEEVE5JcEJY55Ihqmj8GQwB87Fscs9FDM84bJ+XaTLHyeSx3CGFbS8i5ExLr4RdIc
M60MowpeGEQg96otazMatsCFlj8qRBg/fLdy1zru+ru6FC8ISkYKxsvhOXHr4lnOZfndub5914gi
PVgsdHCUzfGx4QpzX2Rj3mJRcMlQtbku6jX1kTNGqIlmV3I1bGW4JJ8DYQ40D3XB9BB2UY9xOPHy
ig2jeixHr5gf+7AlLrDUtz7VIiAlnyZN/8RLBAXw7AyoykKoPLZqjhX3R+qoerWy+6j+NoyA2/ak
SqR4dsGG49KNZRie+sjyfTx6jtU8TFNWfzuNUyV7GVK09GKYMvymcnr8mk0CLwerCRXxOJ9Nl0wH
w6NkM+TBY3jgkndu4JdLzbfb/9Z4tSu8EFxhc6sznzlcFCQAouDBckjJDynnF9bQxqk24lrs8eN7
XxQ5OP3R9mh0WKmoUTzyY0/Mq3isCWP2tKEyKnGSNasvvDkgWM9OWyXvXe7I704Zzc9RtP5t4dOw
vW0DCgO5BEpn7Rb1cPbxv+1LDDXMd3Bj7/lTcXjguih/c8aBTCaTej64fQZNamp5sXPsWB8zH45H
PP8AQ1qU4mTAe64AeABcZ6YNqzqaCEMLm2qkuisansIeDm+bpZrrMPHdp/T9nYw6lRenzH5SyW6s
xpIpDiPvCotgItMnknYcPgjIMXzh982zz1unxmzGa+mM1ScNnBFnk87+LfMieCWQyofcFIC1H3HN
nQhhXb9mM8cDvhLY3XrjkI4UToXoMPaCA2K80UWYnD1dPNZ2mmBQbOKL607uAxUT4XvT5MmNxGBD
3dg0x3ul/QD3Afp6MHIjf2N328EbWS65My+Ro1z7joUuthMlzMoSykblEudpfWpL26BYlQThaspl
e8ETn2zSsnwkWsD0rTIdxShU09hsh8+54/TvjDZgU2scH2viN27MCKTFcBkwjLMPgj7ZTxoOuvi1
wx6YMPKIgVjxNaVkdtn5DkfhawR2Q8ebhgW6SMqjaQVEXYgUxG/tkIx0i5pSV7sK79d4UZM0CDBn
CzEsuFXGOyfzKH5j8W/e8bo1fXRzjfduo50HsAokI9Z9VHTOK55cZdy6Ths3O4z4TEjHxSq6cQjS
T2smwLa7G6aRhquUZmYgY1G6Gd91S5bjLQMq2d2QECMgZapU0PEQ8m89xgGXIKwnkTm8aj5dHK/9
PBt3kTTIQCcDcfo1hzaGLbT+4p9gKv4s0tw94nCV6ilrq4n2RUrm0l9DP9WXnnAMX2wWlFzHZjN/
oYmQljGnSrNf+aAZLdpR1NQUdSFS3kjXR4dtihlLSEsZLFr6zoz6DcOd301IHReM8SC3UVpn7ZFP
JpmQOiHSDQfmPOA6Km/L0nW/PWMsLQ4SVMSdOsdtvmiha5iyxwj6MJbAKyT8Ix4So/WjZHHxQzE+
onAhM51dnjm4akSt5DoOoK4ZE3PqnmkX4Xjtkp9fgZvHFDyyT6Uaj/KEiqZkrnFmUkcG/xBP9Cof
Mwb8adkM731fBjc9VsnXCu83QIE7TIjerOyEMAd1aFPX45bnkDQ2I7XzB8/Uw00fqvA+MjC3rYM0
xtdpeOODOxLqdeLSeiz6MsbvjcEUK2kpq2OkLCZOdU6Hs6mm5Kz1MJLBbtQz6UX7tUAiuDMbtEtz
GXpoggY0QgWvyGI7GoJYluxzbnfWmG5lYlDVAfrQ7cXUhZcaLnFNBsHGzsUQDgNoWd8Zuuo+BbPv
j2QwnZc2NrOjB1++I3MZPfK2TIK9Ytr0XJnp+AVK6XzjPx2eh6YYdlyYnugGZtY1KD9st3FfPaWd
g+iK9s6aYzCc5jK8lQcifvamwHG4p7kgTdauo3t7TXU5yEiQ93Ozolz8XZJ1UJsOw+A586bgd0hY
YAXSx7IhCsUh1br48P0Cv2kFZzSgTuxsxpOUQuG4qw5F0VfbpsE+6xKyx49bscPaTSa/YbSvmFu4
BV+6KLXjtVWSbLtwB6JSmjl79UNxvPYxjha8u8q+do610/VnmmZQfXMzdVyqMXXy4RqG89B3k32T
qiy8K5vMwpnmBT95NTcXbqjte9rjsGSTNdaneszkuaC7mp9l4kHl2mPzWCTYIlba6cM7fhb9QeRL
vLCc8uChCNw/Wj5gAJc/hgqR5xMaT3/RR5b/YF2UboeoSPQtf3vlO1PWeTO6mrBqo919RUnhhqL7
796f5/uYXPAtJ5cxxwtV4M2DrlKhkVBLXDkwVGbXbLOw6vm++ey8TJF4D6Je0I6iC6cHszPm+okU
q3Hi/t58WGbJB0w6HaOpqFJFsCGI0A/kOFr95YG6frRB3T+MxNjsoxuX2Vs1SCnvGMXhzxKpU35V
qNh/RvZS1deOFRhTi+sfIxp+pHRHM7NPJw/rRJ4vuX+qCVTHaM6XefAUu5Sr8F/jYSaYePXonBIS
eejaibZG2n1wUvIe7tDyZOYv13xBe1ty4cUrSW40Bt6qOZhBOTL33U/zoH+7VQgEkfX8b2HH3W93
0P2RQGd94f7in6gFrx+4RvTzqvUnSjPcvE9/5OTN9rEq2nMSR2IvvIjIXkOkbVnO5YjaSMRQXd3y
skEgxR7Zz3p+wp4B6uuSUAoPTVpw968ne/5UIbXpWzXa02cyGdFPVpU+Qta2J2MpA0dxZxwXiZOJ
M+HMXzwcksUvL9d0pVMEAb9V3ik6Fh45mMabkRY4OhkSAM8NG4OZDyshrL0VptVHmHUF3ze7HHZg
QokJp4UtQ7uqfi8rDXgM2FV+YiN2z04URZ9217VbGpa7hgMe7eOyUib7aROhl8+PtJU8M6eFVq5e
dSDVz1lUalqmN+5tErssQEOmrLTITOOi9yyfq5CQ+KppKmRhAfVF4NBJeyyRtNhbi43dPU/9adM0
fjgfOOxUrItFJH8wWVueOwOPydai/YjVlUkIN+LQtJmqlMWMPU7qI+BCR8m6Ec53TaFcB1XI2H1q
XblbP07bal1QU3ZnJ1bjrPyhMLM16lBBBoVVwo1uTAiYlqTjDznr8DlkjxysuQng3p5icSirscQR
5Y/Om8BDEj9ltBjdKwex7pYHTIAg2uD1MeKNRYvKm/me0aB7ivMqEsiadHCwK9vQa1aHwDySP7OD
SFCXuFpj4nDNxn+g993wsSIP1pPHW4cpsexeWMomT/ZkBfeocTi3xbg0H3JLu/1OhMTOOJIYgtIR
3XsTjJH0nnovTO7SfvY45AXZdOfaimmHHLmmM6riTWRXcM4JDuqt27vGN0+8dMf72dtRGpH+8jHO
sQ2K3R9waJW5wzzhPQpkOkTm0ISuw9imooYdLuUmXKlPsVf575nfz/eFaIyvimT1k5jiJjlbrS7O
ZT/5v8MAh/QFBwJlmXPrFt82o6CXeRinQ84e9sw6M0s2jh8Lanb8Pi13XtxME0t4nkIHpQrvwMzX
+OHJKe+3ORaXvdCuPhdkqNZMtQX+Y2KVW3PqmGuXFqW4IiuGmD7ufnqdueFvqzitJ/5dX/mgnMm4
o265vuiKVvuNIRM2h6VMztRiiKNZdG+j0CReZZVQfTF1/CCW+ogqsVymPAwCMShWgvKCd5d0HpLB
xyZPTpVg4DRUK8HDCydf/GJlzHidhmE1n0JQujb8XflUh3p2cxxlJLcq0PnOoU1qHyAqoKZjin5F
CI/vULrz/JsI6q6akdshZo59VSBKQKnoMMEce+9WhlV1P5ZufGQL1e7MyShBzIk5Kul3P4dM1w++
MUUBSCFHI+x91bPDu2/nIX07DHkoweHLFiNi/JiUPJrbjh90mhlXD6BvK7+vIhQTGDTqkO3zKLv2
glSUNzUSmM2QDD+5PeijiVUjX/EmzigiGvR3BsI/bNMhp7okjYOPVOHkY1bj6RPuGWNtGFNzbtCh
cljM0hODr/5zDtT3XBucrfANLK9TbmN1XCLhmJoGGTGTV65ActfHMbdadsjiJkzcchv7rr1WFKis
yGZZNMcu3RqFoEhWjWNz9lSmL7SnAZsataIzHDTjzp1demmN1LvYVfTMx/7BowGqZ5dqz4OD7jaD
vqW0AuUpVuDWBLjgrxMNKMu3BSlJ45uYsqBsnU5d/oJbFyGv9ELyywX0bliqH6whxs+kzsZ7b7ZY
CgkKn6AAPP/gWYNzpPswtPeC7SSPN0Rw754l7rK6be4yOM591OpDZ9oNJ8CO5L3I7Y5tJXsoop/u
WztV/Vc9tzdFnKtzm6fFRpmC9UNS2PILe634khw31nheqx22mICONmM+98hmF+i0eypi/r/tgAJ4
yVV5p3LJSo9cmnss5sK6rfBpPGufs/nUZiSqu9zQ78j+3JM2rX5bLvtaPdntFys/ucuXba677HUj
6bKuCrTYkcbn7bbsf+1lExyUkFvUO0kWxP11Wcxp5D7n06i2xXWZXHVmsVWGYsWMX6bEf8Hmjle4
qdhZcGvjNmzY9QdTbbPYxMvG2s+xu2M7GIORuXlZcjPRVkxhN5vuxjIQjWTL/judk/JjlA3jic62
0Lb7LDrkfZHW4iVK+orjd0alZ2pbH1ZseHckUEy64o0KBywLHGhf/h6OHbcbAIaci4Q/j8lLxtrD
JZeLfeqJ/VRZHuBogm0t2WIsdafzWx/XbP6ZAB1H3CzcFxYyAIGu5R2WAcknRBq70StE4PSjxwLm
ChfoUhtP5kIc6IU94P1SP8W5rz+thUwwWhgF0KSP5kotXAGGfGEZxEI1cK8DcACkd5/VQj20VwBC
jpPZoiFcwAirtVh+oqkCmLCv8ESwaGdf0itUwToawKKN8uXIKC/DUO+SoSGrnOkQHANzAGhGulAa
9cJrBASSX8VYAHHEV6Aj0z6rEOqZT0xwAD6CVAEEWfWYnwy4vOJ5iPT8BIgLJ1IQ92nP1ZUfmReU
JBkg9CamEntt++9hoYpwq7i+7e0lDscTKYFJQdc033DpbD7CK7MyDIDLmSREzdXMeK6DKLgY3tyu
OULic1vQF75yUDA88iFi1ALHmAsmk6dd8MpkBh8v7yNO0qA0ZZbXt24IuAcZhDgnWaAb1G506iwg
TnplchTSEgQ3cQOvY854alkEF43LiY+BAYjawvd49YC6p1mwH7qDIICGP2mgXJGcC3DFs7NoS4ih
+koP2S3LM3LlC52eOCNf95btORl8UWj70F4pJDyPEEm9T5F9k7naXzsLsmRHajkqtxWryaTN8+eM
caBLewaoU3mlnpKCwPQ6LvhgAkaFmXeCzHE+pdGyQ6FdjCKRBaEyF5hq8pHJsmQsxtMQ1guWbNav
dK4HbzPpVppym9i4rwJKdrDEIg2mg6qddsGkOcImedccOYnnu36uiWhEU9dyvUN2psg66Rq3chzI
D0exCS7hUG5xhRKGtq4ImfY7f+MmgfvTuyJmbByzs+fkWclT3gre0tZAUWZ6rF7ShVErXGEfACOq
FfgPCBu5MnUYIhvbc9xw9yBMLWkkoxehvLBLwAXbXtG4AvVJve3/ROaswiARN1y5uvTK2HWFyZqn
952R0Fw0vhMVgcfDANy+dFdKz0OZzu/aX2TpVqZndPHhxACtR4792eWx+Rz4AcZfRwce54QFBvSu
YCD5k/TTInrB3OKKDk7SBAsoeofSv3ChC9MraMjH0ws22Z8EorPQiMnCJRal5Z0YiPjJrgwo8WRa
m39T0GHdsB4h4ZFnHUAascPGu0uu+GOI6EMNguo8KEo6J4YrK5kZ2Bv5iHUmWgQ+Kid9RSyRMRD2
6noZPoM2cJsfWd+sJs9Mv6JpIBHSEW+zLjwnWMRhF675gGZuYR6DUTXlXgZhb1OotlCgSTr6PxtA
/x+5Z8E5ZAlSklVmMdJjf+jT2MSaV664C8CXZl0DawoqCncKfuSfR6thVkq6I7hNxwRG1ef5yQP7
yq4WV441KxHEbtwr35r/ybrG3ZKcTPr6Ni1yaNgQ+uLdi1IcMAssyzcJbrYRILSStXJ3qa947WAQ
tN0YNuhtRPdDvBuvRC6OS9b+vJZ4roxXchee2DnNYTVbKwhFFngDr0lnZXgwwI5He4ZhtcS2+1pM
l6nEGrDcIg25rlnoYp/OqzzdWnEyP2DLzeo9xSAljuosbDdK8J1HugCUPIxGBHGn03mrRAq1PMDc
484WSyMeT1WYZsoldgbVCd1lujLPBnqaeZ1fWeikEQyTiJ0uRCOY0207oxsiLgRIje6RcsboylcH
bPo9Kv8W7loMkmHRVPEDS2Mhs1tqQKJdXpi/+8wIHpvAN5k8pjRiOEalRyiklFpnN85RNxp53YDO
8dikp1Yr40Fy1QherGSG+kG3xgUmhWQOBvjXHdd6J/ntENH4yDmQuds0AfxgiutAZ5Wu2sSDDwhC
h8wB2Wnc7+Js9F9qLMBnELolyBtzksYGn97nKn+rDTvaQlz62RGNJhP3xd8kle6jTTdG5ScLHeO7
SurpOcXiZWzo4hQcTXnsTuecV2GzGoMcwJxqn+BA+olZNuThTw5zzZdIg+LHDJ2crCuqftBKG/HJ
MFk2sbNcfkc6wqFlewvnEufOL9Mg98nUwt6NDBTOjHScdWq73X0rILxRm1e2uZr9YT7YfHAftRrq
RzQxfAPSzEw2sSWtp0bB2TLcR6hCd685nmPV1buZ+YrczYPfx+uC/StjmRo+cBc59MEcAj6+FPZU
vb1gAfGQ3jJsyODDZhCrC+v+0Du0I5H0E9PMgA071o6jnuKnWDkeBJY5fYoo2dqGg0pTQHUHas4H
qrcdUN1QWW+cyUaXd1sae0/4ohhaVFlAo0jjyefGMoNnzqK0iogw9o21YBVlcGxT6tXzRfU7tDg5
s3lhDrAOWlH8AjEKsjVRuZyl/siwn7iVWs80t62cggc9J8rGK/5XTfzrfxIscQgLk+D/r4MlN5/x
Z/PZEqf+h+joX7/ur+Ws+IPy6VAIAqCB+IflrPUHoc1FC/kfOr8t6w9BqARZuY0RwXc8jAx/bWdN
9w+ipmRLPEAQXA2B809tZxEy/PvtLGJkxzdt2yZYQh/c4iz4u3CJxaVm1JYxbgFBrP7gsSMB12lp
QJ1j57dcTqxgCn5ob0YUgEyu5GLEN3l90dvsG8mWll0+3yXP7rdicsLwloTW8m+UVNDbiuUwbQg2
Ay4HNX9z1fTnV2V/ZKR5/eA2SfJqOG4iGXM4Q/VAA3JOKTHdWxTcOCWRuab0ImtDbJ24SRrXYYAV
zaMMFqyHXpSwILv/V9sFh2davyq3lPelluZvM62cbTqy7F6rrAuxnSjanbPYsG4JovdsI2IgGL6N
hDfuiMEMF3FtSHCXsgRSF8OJ5Y4bbBq36qPb6NqvwMtbZI9BZr3xpJ7MPfMiXjDKt6iPGSKmRmMC
Gbyax8ZJLzBYXBnKa+MD9hrZbJheOulayZSyh8AovF1zLYyYLPRXoKowUHctG302DGxdPEXjqSHs
iQdYG/T5AX/RkJ2asV6ctbLl7bOs3GkYbxFnrcaUCgxLmxlWc7GYBoiRbvTSmoHgzLpjKFVdYDLj
B/yO9XtLBYfbaKDUFrCj23D8dre8jFu9qjovWIX/wt6Z7baOrVf3iRhwkVxsbkWqtxrbcntD2Nt7
s+97Pn0GVX9O6gTBAXLzAwFyW1Uuy5K41tfMOaaRRm/83wi364P6Cp7RLvYyLQkEme/hIMQsGE/J
RBF3Wpazvkt2peGsGBHrTCGnWRk3Q2FSmaAkpNswWlZzxJOLEsDZAK1lV5Ou91bb89BtuzLwwSrX
4+S4EhmT5tkD1L58HMXgRrbfEPytMl5a9U6Kc6DoS7GTrUPMCpy/xNmrbJXLI3kp5KPgJu7QK2L0
3Wmj3bb4kAqtWAczxhmP3Qhqw0YPI38zJUmfQumBFbgOM8AkTEBKCANGUI54ikMlZR9Lhky5pMlk
IcAHnLH1T9H4sHX51hEvqN5zafoab64nRUFwbK12S3I7xRmi07l2VcXuMxpcRtpxrOrfpSO6cReK
jql/yICMSCdH4xOb6qA46APmGPbCdfLQsgJ8rCPryuLGfGka9v1u61fKHotreLCHgYw/mtiSkUAs
npSOlM/ZmcyjI5NdDyCcITy/Wnv2awgVqyKlp7/B4GXtLNSE+6RTy+kZ58v8k4UIYnup1qQFQ1cS
l7oLgPONRaINay0n3n03q0F2cqju293InKny1LjPPhiFVBeIImrl1U45lZ6P+6JwFakbt2oKETCq
WmZSvSi23q6TJJeIr/OQOOxgorIhpywQx07nTFg1QWac6pKhscfkbmIXGmfRJ8pjbVxbE2sVUwQI
LgT4OtsrEF8gblb9V2VO/e1MsrWbjUX+A0asW6V1GG0C3xjfWCVnbsWVaW1FVWcfrLYXfbzTEB5b
SDxVRlYcc0SRtwZlJWUeDCxYZM54iAxDvxJ/NtaL1jTedX2BRyMSMHxROWnZjnbMeBFZ0hybaQg+
ZaKFznpu2xRl5RhB2bB0Yme2DnH3G6Z84fdYKszymeCBWFvwonw90uqGt0bfE15goCiD8obonn30
yvAtM/0pZVgjIpxRb/ujPb8S1Jj/qvqidzZ9SuLwNuTGIR0pAZ1kQa5Zw9IbzmFVKHsf0A4m4KBI
h+dyiHzaOfJBDC8k2YD0X2YCZIxofnnozTLttuOkC1q7WS1jL9Gpxd2ZMld1pVo1b308WRcCEQoX
qpryKQLfyl9sOkmstCMPCnYokjR8pZDSs7gG7V+ZMuno5mZ9K+uBr2f4NkeK+t12qVjbWhETtZTU
ZBmHFKwNEUwc4UsgPc3DYl0HJ28ajeQZdXSHYz8J2gMGYId1x9hhjgfFCAjNqPynbFLUWzDRFMFF
pb5b51KAsk+NOH5UOx/hYqdqKOdsSxrKERtU/GX2ftHvgkjtkpOh+7NrBxw5LiDibM0ECkngzMj7
6kdJcCMlJU+9PhhFu2R9O4UnJAuKlSNzxshECA4vDnSAmfNKROg8eOej9Vwa5mM6VopGR5FnuKa7
HNKZOfW8EA0G3VNUaQoXwGwRVEYmB2S7EDaCto9swix5KyJzDW4mcVxhReMxaSMV/LAxK0j4CDUd
x6KMXDTkpF1pCibETVtJB29KjCsFGPobJm9Cl0llRq5XRfMvas4UkIolNfowZjUIkFlzZm7fxTOm
GiNJdo1cIL0RlLsJ5cCsGSuIeLwJeNVobpIsvjYJHsk1NlD9i/p2yUnLczS8JBmdMKcOCHySEc2E
kXC0Oh2SshVjr+w8mkX0pNPIvw4TmSrJhON7oypEscaovaF32l3TnxJnnm7YXuzaG2L8ibir66rc
jSaEFGswph2jWAFvMKQ5LKDkp6tiRgcCFj2YkeT3aJsF+hL/YkwxGxCji0vnOtkmESbKYIUnRa+d
D3MRzcSacqzuOhoLRQ0BCoS/3FU2/iK40TnkPIw3iHDIl14x8v2OF4FOtEh1tLtqB/ERCp5Am+23
dpH1EGLns+tH6kMKIaofslWTvTqiaeWMWaJZ0AihxQXzOnRx4E01RrF+pGdTqtw6iMpStW2/KI6y
RXsE8hfrmggQJFWLNqm7y5RYWGquVUki1Sx/PijV7NcrddE2GXeZU7gonsxF+wS1aN6NmdoRacry
fxWWA3Gz6aKYigPsUisUgu22DYPhqNzFVSr64nV+l1whvrbO/aLD6hdFljGY4UfYTDflLtfS7tIt
a1FxRYueK7tLu0x8c7D9OYuI7NFnrd8beWt+sztGmiDyVFMOPVIxsWjGgGzYj4aGppnVlLilJiNo
KbDjnHUsnH8QSiI+C8gKzy5mGyJKC+8CNalhBmaPVmZrpHVI2AojGb8DbHA/g5FH/WtBYGO0NQtR
/FRSV+vH4S6IW0hbUI3uQrnIEai9gsBhsGssWjqdqXFFebNI7Py73E6hnCNH7S7Dy3O9f67u4jwk
ySRs3SV7xV2+pyPk65syKTDJgGFc6c4wPcIFIKdQn8MTAW/RDnkBcsBwrNstYz42iXe5oGWESAeX
yQWrLNtsr9Fch3tU9vYhj5Vo5zuDfsFUjvMpa4diTTxfR6ZdCWVXTZE+JtQgP/WiYpS5Fa47a9Cg
ijOQ4+C1XxWFOA/2h2wM9jY+tfxrugskOWidG8A8ULB9hQMlMOr8gkW1eu1GMvbiu9RST6b0odEK
K3XTKhBv4PzFq0mtdm5aGWydtA8Ys977SnnvMdWl3STxAQOYnoDh44LEGGWZdKYYuPW31m++NOZN
mDf7lP410JLyD8ql6k3c+1uGwPS6BIFQcCjRlCMxBmY/3Pti27SBRlEvPg9/Nc7l0kSzSUJDf++s
WyODZ7y024K+e6Qm/xL4M92OnjxemnNF0zn50e/Ts7NIpn9X7718cu/rszTv4nN07/ede++v3OcA
2n0mwEQAPbh6nxWo97lBtIwQGqvSx2O3DBaa+4whWsYNWBKYPGi4AZjaJ+VTPaF557s/7+Z+1pj1
owYlsmDuumtkR4aLM7g8qmmjb7Rl2BEx9YA2xfwDlzMj9tqO5b6Jmyl8y6oyZEOmlZhbs7KmIpx1
VZxKvequxkAIPDuXFdK+iLl+OB7UzCnWODUat2/6zwQybLUhISXxmaxYtQO0VspzNTrt00A8yTZg
ifZeMpTYM4uuE1c386TYRaRmmB4rsyhaq2aIRBRcivIB6qdTDkzsyUnuQJW9DHoPRAOFBYjUrO4J
l01tizkvF+05MJbmrLCaBBqBAyo1mkY/3RQMIvkI5fyhM2H51HgVphejkROuzftdeobOBtrQ6/Gz
0oKW/b5IjEsU6pi9RcYJG4PMYvtWAwPTi/F35lfTxpysdI/7ao52vVMYJ5oG2z+wudW+YYvqXipo
ZzyKDPz74exgDZ8TlFhMZMlz1XJweS5ZU1iaKxKfHD4x0PyJnsRrHmawXcOc9N88vuZDk6RtuQqx
+8J6M/JgB2kgLb0+TDeDWlk69gGZXTSVYmgN+T8Sh8YhoGRDR6zqHkKxmK6K9sZ0aXKxvKAt/ZQt
F5g7tx39K2NYA8J3B+WFRskxp5faxzYAcERnJRE1efjTV7Xc92EnPjKQYV4TynqXlBzzs6Zje5GT
yVkDI29d52Su458LkLSwDcxdpH8IolCENp+GUvmXAPLd1hR1iMAQmxT+mDJMNn6MA47cgAJ7RaGR
2tU4vkmUW5Cba6alDMa7AVLgqkd+p7lokMaLXWJHcYM2AmXv6DYxCcFLuKiJVww6iZPMkfdhbcJy
SBQqs1rVPkwsf9G9VPm+ZCZ9tXqmzSWbzZpdv4RFPxHr81QThsLAq7MWtULU/Ipb5twbR3Paeme1
+SIgDNufkkiQC1HprBYzDZTdShYBexkNFeeX0Q6wGvgc4CAbKK5RfFDZR+aD0YXmIxtLA4WjP5yQ
IB3hT8h2lcoCLUOV9bvEMH817A6ueIwswhfz4TiEdEk43LZNnFLx9qb+hir8h6/byHvMcBvD+E/a
YzpsQN56aWTzfsdUyIS4n41MKQ+ZbHhBfVFeba7hTdTWwSc1RcbSJZrMZyP5UgHYrtEqLAunXPcA
VORrAVJ4n8CjePZhBGxrm4hIDk6vKBodcy02E3bJYuertbHXCd+Zc1tjhNwR01GOZb6Js1p/roWY
kDjZ6jfKz/xIpNnwRaQZEWt+QsKi007quEuTwgzWHJLDrxmyEwaPBM5A40v7QJoURRdGljh1+0Gp
vmRi2tN6Niv5MHU6PMSRmj7BNrmN43LYIamm3e/L5DrY+nQ2JarSlRzS6WEgzd5hjN3Ov6e4QQ6R
UEEi98jsG84cHLFaiYe+yQ164pQMuzJRPY1K/neqjPW2BuizXCbvldN0zIEL2Z0ak0O0NeMidkt4
Wf42K5xg14ppW6V2ss3bcFwJvWT4kZhl+0K5S6BBCvXSHe89x1jCtWhk8sfWQwfHKPJAgjHnD4EO
/CkvyOFYMahv3ArNO0NzFcZsJDkumdxsZZHuBw3kX5gK89IlBv5mohwVXNFFTrGjZKzrO3LzAquV
iHvpTzvLqN6HWkXMPqEyVqUln1LHaHcVGs/HFI0LePMwI6sFhV+V6uo7W0vSFjqgIYM+iDVTf22D
zk6geR+8MkcBT0Ujr2G1KI+sKDqwj4FcNHU7fbTO5EoOLvJl4zhJTWyk5syehnaJoGlynfApwm5r
AmXdcxlvTEeNXCLVswcOqnjNI2O/sb5ZCFR1Vbm5juwC2QmuPeAkGFD78WaaY7MZmoLdYeV08oLi
2ib/ODan0wA/es2JO60KPU83UxtUh3kOSu04irhs10zTSJ0Nmw8F2dZNmhUJL2M1Ny8z5mpXCxL9
rRpjdYsGRuVTndVdafL513nQri00GsEBzUC6Vodw8HopZbk15sT6HvP0y4TrRqAB2R4EOGW/EUv5
W86H4glWHFumyFfOqY68wPDRbcdcrIglcqQbYVlsARP0Lpp4BHapdS6ln4lVSzvQrhz2KBzOg4yO
alLne0ut7d9qq18Vn7KbBJOZgsyfrqYxmUiFW4BTyDtXy+AkJh94G45xuyc1hdnURE7bq6ll8kMm
zPubkJsk6KKjVbXldqLfIAaTwpaEaDl9z1GqvxD3rv4Z6k6hH3DkFZnoNjbl3J6JjUuGU9gDveP/
Fe5Qf/+qpNCaNcu4cUfpPf0hGSS7Jo3UdkRCV+uaRfj0qCY4aLsp3/R2K/wVQGYwpiM6Ho1y2GJr
l8QRUZM2TcujqpOIsJJ4oMP0Lzzt/zdH198NXf+rYJSq0KAig5D8F5uF3wGRh1/TP+0VxD9+8K/V
ggNgUkKeWrYImg758R9UStv5N1twbJrCgSr617/5T+OXiq/LASXFHNRiK/GP1YIm2TqoxHQhPZd/
ecL+B8Yvyup/3ixgoMR3BnsYr5qBwcz4L/jhzmdjJjMYczW3T7DTqsTEmaEzGceJEIU/I+zxQ2ui
5t5L3eyeDTHZxKAM9OTwl339pcK9s6elNBPEmyyDV1kEpxYtUztW20wJ9RensfSTPwzqJVMU2V51
mWNYtvD1A2AwgPfsmgJBHSJ9uyofVKUY91OD1FfKIIRM5bfBrYGCq656BbRi1wnlxni2Otqd1b2X
xGoRC2I7ayRhCcI48sHnOvJ6XT1PCMeYfJUsOhLSm38xzCsJIECjUrn8sYBW4sZpVzVx2w8yJPjH
g9QXoglMbU6rNNsBK8oulRZpOy7aEUvHrO+maIp2mlE5WAkm3DoEWEAmCLHcEElrbweCak+lTSwU
Dome5lNX13qdkV3YObkLNNjVekMrX3sAC92TD5oO6kwDsokg2eVKjRAHFZqtqw+a5kfBYWC58gg/
GEZ/gHQ9eKhASxInZPcY1zlhA8YYeTUGXiN8RKyBouNz4YInyzgQCIxIIHQU8TgD7p4udWCb+SNp
n8DGZhUH2C6Jl9yvsLTFTCw9N/XB7wfWSAVMwB5YGIfYRqeMfu9TrZKPdla32kbMAFixjmmkw2od
c/GVPqP82PjoP7ZWq4Y/alEGFjDFzNnmdSdepT+ANw5U9IxF3Pyh7Th2ylBdNQqih6ImmHClq8pO
gTr2zl5/BBTkX4eRoQsFBEOadsyck14PXjZBmRRRom4g42dMzP14XFVSHbaNkTc/uOCtXUEed7QF
0hEJLy2Ye1Nb2De5uJZR/RTwnBmu2c+pUCh5/AjO8RhJL2ra9LlNJvwXWGygW+XhFk1LcYAnmnlK
41B+RfaBG9NZ4/6Zbz6j5k1fFfJgmov8KlYI6BFgmMgGSYqmWYZKwF0xgV8Yofsb8tzJjG/1zmCM
XE/Y3IrQwp2d8c+3zMzSB4jGNuwyvfamLM0eagx0mCtiI7rxbe2OhQpSw4UNNA2oZGGfTAHICchK
nUfYPQ5liM/7oB+SCyii/qPls4UpUwB3ZBoGW2I1DeOoYhQfyKerw3yVZdbrGEXZYzUV22KI03Xl
wFfCGBT9SDSFa1QR5TP0oGZrhV3M+x5P24Wt9mGh1Ninytyd0Bn8LrqOFCSm/tnaHv12lyhxvMFI
oCTIFwbzeSgmhOciTKxPHMkCmCojij1aBGUzMkLxIg0ds6loHeJswJtqBeRrdgggq0cUlhn+lU1K
rYEKLEh3RFvRTJO/I4dsPJlLtAkh7QzkmyC9MrusDk0Z5wdWG84l0Cv/ywCU3br3g/7/rsXbVEJa
/vrJItJtG9ZXv9q/Axm53UjIdf71wj2aC5zy//2P/b9LUf83A2CjlDjp8OP+B6eZuxLio63DmYX4
D7iCjfp/3IgGP2Gym1dV8r2EJbmn/tMK7TCDkQ7YZ8HP/s84zYLf8XcjtL0EYBDqYwIPF0Ly9/7z
qn0EhUpvRZ+Z90ZB0ZaX20FWGbnd4qzXjbOPeLZoakdgSd1v8BP+KZDgf/9WSVz/wkL/PYQAQuV/
8zo0+mJpWbgfcer+8+vQnQBRbuGz7E+adNciTzJ4DorZNbuHMDwa1a4yr7ihzljgsBFJ+A1a4J/i
EB9pVeu3rrJQ/ezm5nWOzsTdHfV4LNnS0lj4IJQG0zqWgCFWQ89OQLaPUzdthd9UK/yNqqd2L0MT
P0xyYHyXrzHuXGGfXYbEP2h6ydba3PhN9mZkwQWBMQs3mdw6EFRr8u6/0JMXngpdxJNmP6L4Dupy
PfKLvM6eJwNe1XtDqjqo2A2Yk10c6FcGuKzUFtcxb2yj6+07S7YFpjOrG4sJKqPdhz7P6JEIMJq0
U6FAWKtAJtlvSjI/Mfh4rhbObzDuqIEOZJC6ccJw36qex3GBOSIpmsbkjNOeoiPopcuKFH+KjPAm
ZWf22wdzlL9Rte5s9VNp1BeLmzUgUKGW9ZPpk1nF6EaMijcgD1xpFi/DdDSXUJx1O6XfRdr/RBVI
NLyywmMZ/Idezt9T1DNAnnV2kbCjsNLMx1YMJ3zijWcFVOuD0FydAQOg7X2tPjW55bJtND185s/c
6leh0qQOq5h3C0l5mk/ryPSwQDJE018ymDdYwoyV2TxX+finz+z92KgfM3LXqVTZcw/lO9bjzURT
pFV4aDMKhcxncm05L3fNt9wAj+FCEhZhCG2/ntT+HCj+u18ioDf1J2xJyNas7oX1vCfET5GhJVPB
cPVj7DJV9YpxHlaiJWmv1nI3gb7ljC2hdEjajZYYgTF9t/hqVqH5EoGGROab/5AdS0cTZuiC44yt
DTzRuP2lLmRwn1Q1mh0qznxtoSrAdfQWZ+JmZG9WXc+XOBmSt37Ojk1iPPpjTw7yNDgrhFogqjXT
Y8t8tHLHM6scQ2/ybnb+b9jbWBEupXxp8MauRKUsMm0VEYbFeGeY97TTbwahXMsG2evj8Dr71kM/
Vl5gSjyeOkurx9ouT5bquCAR5KowJhBlbPcoRgMPzty1ZYa6DuJ2pxuCwTaTbUZjLPnt8NoH4oFJ
GxvdPQ5uylqTXDvbuUZRxxrNH9/Kud3NifnNmBQPSQ77TRH1qXLEskJCXRyZ+noaW6+xo2+Z2psq
uRpCpVYUj1nGrK3A6cu1rdrZrl+sZi37iXk235TIB2aHjSwfLfSMWgaBiOKjFzBJfLw0mBAOocbe
WJtfol6TXgU0O0IG7CYR41CSOyakfnjqL5bWbDVtdPPZto44XtZBFf4ye+Mq/Hh5nLSLozKTqlp5
QUa+HxPnEyPrPurkT5GIfVyRxLEMUHH4ZJskzXcSv8wDBCdwmNZoe6KOnwIU8qy0qZ+YRsKSv9Yk
UKiNyjuP+S9QlT3c7hP31oDmXyd2qe43UO1qjiJ5hUX0SBIaUHpWnhFpa33oG4yCyB3npPkupAMB
z3zFTcGz0pSeFlNSMFfyyBpEll+/IAK5+Hn70U1Zueg+Qre0bNxa07M1DAGqqtNotccigCeb1TdV
cS6zXn20qfzUKIiZIj1gMf6opuQtmaxs25b8HSzNJ4V5b88wDpDZ02QoT47N25MJ0GAWguQO1kKX
QPqqjEJbhVYdowkd9kvQlKbp27ku/+hJtmUb8mUHWE+Hyd/nZaidcKewW61ASInK/k0n+zpKXMdQ
7NfwNzYVObpuaKTNOtOZZzQi39nANqnVKZYbh+8f08rUDFVXi0GDFQj/IRCuecLORGe8Yc78nizM
KgY+W1fNmq84sXgwmLWELTZwx7/min1TBvtB7dvzrKlEk8XWtG3q5KQVwX4OjN9VoEBZp2LDTd48
zLytCtFhST9s6gR8p1GQinvfteIotlGyB6SrjT4rkgRjUrUHdXcPfL6yWWF8HwbJWsTKiTCj3I0C
PC9FuW3m9EkFYc7bHDw2aCQqi+9DbfNOJuvatE4dXMliNg5Dg+IAnG24eBHtiIQYCOuTfzDlR6cn
L37W4Kapt8nUYZLEY0pi60otWNsTzcj02yuLT6J0z5ljvYET3mPz9drUOKLC2g19ufH13BMOvnPb
Nvcq5EiUpO0qsZ4rf/Cq1qBnPOPFfpsySHFQjBy+6XYq3ru0vWgDE21804jrt1HrJ55s/N28oPLG
vr6ZfvtVJ919f50czPrNpo2SaQdoSAdZqO2GtHsAsTXO2A8MqBH4yR6VWT9NIyfXEi3oxDzyirSu
cgx/l9MRo/EaA8YlHP9kYAxV8pjjeF7Vqg5RpKjWehd7aECO1G9Mk6M/zNd/wsC46GZ71s16t4gu
1GlYq9gpVrJ23u0lLKL700rhUnNfZxr3RtZnWY08hAUgUPkKQOxgpZ+9nWAOzz8DJfaYLj90anex
YtPVC8nx4ocnyaHFGvCxboqDNYznzondqaQDl2QnB0uqj2J8O1aFeFFjqj2dLDiCaOd0DDACBQJu
BdF9dXP3Dkd3SZ3bJSL+Ndf5N/MxYFknu/RX+ajhdSMHwAxL5tMNDTwNEurIIXrWsoPOocDIEmES
TFYPxihQ545NLwGT+mmObUbK6UV1ot89AE89DbBw+tyfRbs1RxYIGMvCRD0VAY7C1KkeAiN5RBoJ
6hd8Z9a7YYByLGs/wlNOJFDzEhuJp5P9WTbxuSSgVDCtBSYTveIQwHE1a0Bn+bPiq0VWZGdtkfzv
iqz5MeigwyjZjRVvIIp/I2OZaY7p3qmidUAmABACz7TM13qsv52q89ctQiqGAeGrrJTGJa2J+NE4
e2EDYjwOsyNcE50PsjPyJMwCOg3bV3dQ6kPCWiFptQKkmrwSaPoRxNMvze/emh7KOYOalWXUr3VS
7uggX2OC7qRE5qD1W4wdrjnfeogkTHCxqtuuLrOnqsS87DfbSeBR7hnHB6d+kI47kB7iOHzVfVRM
w58UWVgXPbaVcxgyCBItBt/mwDaGVAXLHZ/g0W2KZhOaGMH9ovGA0I5eEobcH9FaUbunjqsIq3QH
Nplu8iWwtLdgUJ+iTuU8sLdRcEsiKHK63EFKh21ub4iEeBjV7LEXV+BweG5dZgifClCAsaITLzp8
5fH3MLQ7cyCptcR/oFTjAZuMcIfK/OPkryHP5lQwtoHFF9cFkgEaibJiofQQCVrw1L6ZQ7CxjfYL
M+dKVZ3Okz6sMpv6oVOsNwyIBQihV/zh6xkhIYEw5B4TR8KRZVCSjkgU8QY/i+zWy3VQIMeF3ZpU
DnGuODLVLHsJmA+7OSpVzDYsCyxu5Fpt5oPl5wmjKTP7pUiEcDnKnL3vI5fgmHbadzkkxWvF0g5K
mOzcPm2nPzkQgasTq/apTvT+p2f/v0b2pG7J1qV3mE2/d/0O0KwtIX9Iqf4y8zR8tPXMPKpVQAQm
h322Y0uevBaWY69TkTlPc68vDv02/MyohncptBGEhooU6xaA5yEmeK5zQ7JVSYknaXJMI5hzU7Cz
akP9za+0f2FNnL8R5qq7TEJ38tVYPMOJ0zewNtqLHU71Qc3j7AgvoX6m36M+pjAbVz3+sEcmLvqN
SLPRVZyKuyUOId2IpjwWvRHsO4UVjlUH3HEz6dX+JOx9gFSMAI8+dbZdUVanvIiDNXcNayrpzHvF
KZuTlgMPTOuuOTgdxjWKOFqvsXZ43wuzPLXIu3FpT6cCcSH1DNyH5wJ68Ktaq9Ovkhi3Y9ya/iZA
qXsxxrn4GHUyQeA1Yq6tdJ4fG/nltx2b3buS6hL4bh/GF6Nv5U06cfjEoHF6bLCyncVQy6feiMdL
jc/5OBmvPStQpMkEt87tyNBRGC+KYUw9bJFJ+5C2AhuBRZJnzGMKe8bqzkM0Ww8TF+ZnCBp+B0zJ
RoY1oraq5/wKtb29StE2F9iU8T6LwLwbEn2aEyySpsLuNizQgm1AXb9CRUQ4D958gjk1gVw8zrZk
T5dbDGGcKgkD1VUYwMMlGISISIQQb3oXsErkePqMZaqdSzSFOyO2xFGZYS+YCw0zS6NrgVQgJDIT
7oLbt+l00bSJm7TMpv654Zs5If1oiAbGdJV7XTX/kmnM5HNoOtStfn/zFfPFJn8Ez/SHGaU7gxzZ
sIDoMwMfNNpoB6rmWEXkhpTDsr4j/Va1A89QHLbh3L+q9c6+dd9PzKY6YfyYyHV0BIxGnawZwbp9
kGxAaKNJXQ2L41iO+YqVvHm2A0PdQkF9G7Xihs5hH6n2OTU6j0m0G8Y6r7jb9slZU+tXIVpnXSrN
OxttYCBBREWZmbfe6F98RVzKiVgjZXFEhskDQTj7wJ4uMJr6fSkqA0qjlu6yvE+8ZNYuExP3RcHo
ApBYO1V4qqKhYSJLUd5EIKc0Y4NKepM3iuaV66Z760JQGUVzdMLFqWaTiZv/KfPm5V8PO/RlCfK3
oYsNOdpELy/pNQmLEarzX4YuhGNTMUkTUEP6RpsfHeexGy/jUGICFul0UM28Oo9FMD9yPoVPQ2TK
m4jJTqr9Cm5MY+b9u5302TcioOWqWZ4a1G7OWS5PUrg8U8nydFXLcybuT9zy7BVzkDwPoEEonXk0
u+UZJWahPE3Lc8t8s3n17w/zGOjNoUsTpPE+z/q0PPX28vyDPQ7WWTZX5Fw3znboAICjyfDtfUw0
jpeL2r9qumQpvJwtYjllcNMP+8Dn5FFbf3QrY9BvFnq0x0o01OdBGLbPwKmbZ7VosiPul/pQovu4
BDPdmLOcdJovOfOW0w+W80wMLyeiEhTit7ackvXURkz0iQQj9QHIzXKYsjEuuDsDiNX3w7YD9bmb
Ejv8zEvqDNx8zpMRJ8461LXktddDGoZh4PhWw8HE6DWEjwZgjF++gwclY/ehl8SZm/dLoOgSDBbL
zQAzrf/xl9uiWO4NrMPTH9xSnYuBAfnvcr+I5aZR7pcOn2YBjZqbqFruJHu5nZrlnvKtNFw0tA/F
coeFy20muNYiH0XXyp6b+Ych4dEmiAWKnSaaV1hM6rs9dUiApijV3iZpMdSC5Dx9DM6INXDSbbgz
AQOohO/mujP7YjVnFHBa5GgrfczPrKzzcxiyY9VKLTyXPd88Pa2A1WCBgFyNE9bAF/NlkMBR7AqQ
KTQ34JU2DaxHAlba+2+EJpu5FsBki3tagb1ms0UIXdZb6bXIYxNhrqYds5hDYmsOGMZRzBtUCrg9
c9ToJqHgulo+9nrqEHmC4qTahL5OXUK34ALgA7/eZ7g+4hZqtSqhbfVV9RTSbe4Gxfioc0Y5nUp2
cDRTV858faeUpI4AXbCj+Lc4rm5pG2ZrZYhrb1byjABISEGE8Dq/aWLeFFuVJ71znHVTGi99ROnZ
I9VjXo84Av617UZVkD7ZgwkiOBqTNRd9g6EgiW6WioLHxBwNHMW8wZK/2VUU4mB2kl1uUWZ3mXoI
dIGWtQ/HcGOOPUVPmyZs6szPCLvDzhbRnwmrLArHOaQqToAbi+kBWJoKeZr/fOCL4cZW/y47QcIz
vugNBjuwAXWhbasprT3ROxkaeWNrh+D/0nxArK9WcsMwlbGKSr5gpz5SF+JuNYHXUX28lMX4Wmjk
YQ1KSTtmp+HW6LreXgXE2zzgNUHzmwTFtiWHZj0oAot+bJYbG8oUQqm+2fQaz1phM9f0gSXisJ+s
VTA2nwOpz3sWH9F7NOfoaFMqCFkSNGLZ7ZbY9HrrzylxA3XUsAQi0qwWTbRqS0xdGJUruH3MF9sY
920YOBmlRanSzl9lRZpqoFMxTUgWVqHtFwhsWz7hia4VhDd8XKe/8XNyHwCT4tolF+kFDX9+LFrp
77USlFjJtXsqfOtHlA3ZFRrqCHvkQFEyDBp9+ifWzRtwD+GOAhOIpgTGuSxQ/6BC0mhswp8GGMkq
jRuu9qrJPKoCgRc5+p4m7X1IP1QZn1p4A2arRe6UW9dZFJo3JfkfsyGFXkDcT23yCtjo/jt7Z7Ik
t7Fl21+pH4AMcPTTAKJvsk8yOYElyST6zgFH9/W1oKuyR1HXpLpvXCaTJlRmMAC4w885e69dmBhv
XLGl6IgJQhJDiNoYKDcovmCo1pyT2pJPgyH0F9w/uFRd49vELGxrt9mLK4uDIdm4NNMbqYzJI3Vi
I7nErnme3ZFhrsn6miQviVrjOEBD+jZEtog2CnLVIe2H+pgwLzzECNU/Z95aZMYm1lLQnPwcotIl
YJa6fMFtUIaEFSewIMEDWwgx7oDtN+/AC8xjrDn6ORn97Fj0VncX1W5/j/GturcjbcJXbnJ6Eq2L
Xp4T1bCerdr1lMWYvXgYfz95rWcwofXuEfG8Fka/n87Yca0Xbz2yrcqyveKK/98Y639jGv1DpPG3
Y6zbe4y4o/r+yxxrVYXwc3/Msezf8Ff7q33PFYJDDL7Nf0WO+uZvpkmCpI/mw7dd/edRlvMb4g2L
Fq+DffTPmWT2b4aPCZV0MQQj/Er3P/GNCn+NFP0pcpTd2lsdox7SS1pPrlhnXT/ZRhevozU3o8+Y
U3PGRPAeu0REpaksb4k1Rxc4FnZYaeVL3eQMa3Kl7cmmKd4ny3avmdcZrABvn9kAL/Ep3Fcme7xV
eS+xVfphIX00xSqFjzXnCYgFa3gYJACEEcFrODaqeOqILaU3I8H9Jxa9H+I2O+c649enBZNi5MvY
8IboQUEDdaqSF02Ob8LMohesIt5ODpxt3dK+0L5x3l2cXRyKeTfVgl3H82GjwO8BgQO2qihg6Q00
UBSZBkjeQLyJzNstnDYpuhXWJcBxxEgbbqhiqYW1Pz60iYWLCZMC1M2xKS8M0bdzJx7T0j7XsoF6
oWjP1uIHjqXppCXR2ieDObcXiXxKubZ3NZRZECBas4fo8II0cONo40UhwAz9vjEv2cxXTs38hudi
32qRARSoveKYp/+n1+U+nfpvjZiXW/SKkYqguLbwdxjiT5aRFDcq5FcsMWFBCFthhXNbIrAnn+pH
bwGj8okZMJg1IZTcVHP23FLmJ00pQuKj43BoOCBwtAi1JTtos3rQhD3QGOqmF5Uu9tEk16ahHRym
ZLjNDZMIKBAxdV6cPGFPJ+F4+BrZ65usswqm9OClMiJUAatJCBw2zFQk2k0w08vbe70V4WDx7CMz
r/nZLOtHM19NWIZJSbPyDJ4IhCMlA4BPs++1LL6bnCvK7xdTz/r9kjnV/Sg1DZ7bcEVofZfQUsxz
51NczDfAt3PQq8naZ6O8xLI7agvH0iX+NMajPE/pdrbnlFvV3TDp/sirJ9zB6PVc3zzY8NuDuZzJ
uUSaOQ2BjtEfJaSpoeFd9E0j2ts86JfcxsA8E7KBrGUHzW8dotEUfhUFzrkmKcGZOutnZ8dW1/DS
NPqLSIEmeDORVhOWsW7HwJFOIgSIfYtQCY/bu0Vk5nkx/B9FhnRlDe3WS1ow7b3Ze7zXshDn5qNc
EuNtkDo/kyJdt5TvPflOtauiaEUgwqgJzFJqd0ti2vfGuPSAXo1kX5nQYxqrVede5mmPvdZ2oEWY
zcmMuvmcWdJ7x/wCjlFV8VlDgHakElHAyaLiU2bG8ASZQKaXRCT6MclieZjpeDx3YCNCHtWOQRHp
WDME3ABvZH2fOOZwdN2q+JLPkfu0WIhmCj3PYf9Uzhkann/GzOTsDGdE7mtggYOfOV0p8MtnWH7T
M94gdcr0pnwpcWDs2kFQsUoYa+99NLjgvJLhZo2+ffVtq7nkoHxBcFbmzTYWdep1abwZWaG2blxP
u6n2KUlQ4h8l5sq7BRTRB2w92txdOcvvTQkFD+8xV33BZXHFaDZe7Kjoz0XkGfQfhkG/97xJf8Ql
0d4MehKXMq+TF0Q9PlM3W154VNyLqY36paSxC4wWdDHn1waHKpzVm88XpDOMSDMrEr06/EMxrP9Z
geDBCvMF7XXeAh6qBlz/f961c8BStdkt8dGL4+LWWLIejlk3dLfWrOhjRPoUNsaIBkhgXTFA24Tj
gE/ZhsMCjEe9YLnXdnCLWlYBwR6bvjPq0I5TNFNrHZNYafwG2QNDb1rH9j05zNm518ubGzmwM1p/
uW8cA/9O5BXXOSYagSfpxY6mGqWcb0PaGHAmGkSWAJt5RkiECU6NWMJU7GXhOKvouRlHoe19e+b0
1LkLoUlJxS/eiDFhMAVHZd5XSxKpoENMMe31cs2iJc6+ftPI8UlDQPI1UVtG9WK6iffWifjUFf2y
04T3qFxtT7wytgnG5E0120Hbk/ic6oWzJ+fyohELcZhLg+wjZT42U39JGonB2vWCptYJcJzsk1ak
xCdUeJNwByE909QSkLCLJDhhsrxYwzmS9cVNWf4pQv/d0MU7LGwiyJB/bYH8oKcenfhbMtjjqRpG
a6eRUrWhzgHySbQmewwAtTXu6bFZnBgoJ0ZLBd5k7yNYDtTi8lQtSDMvY2PTZ1NZd0ltzb8qW09e
EoyDlxjT6S1H9PJYG45OfIdJ78xPh/7MvZ4uVeOk11Hv/avhmDzvoBS7726MZmVj4mr+KAti7ycZ
TTu5rhScnc7ZW1cPwDe1VeuKKjpPnZJoMm+5Vk0PTZu2F0uveD8n3XBrRl6VlSO793YuGeAr3+p2
+bqC/XUt6+uqjty8eh7WlY5eNT4yqBt37boPpOuOAGnWOTcY0QNMLutz0HpPTD2LL8yzh+Oy7ivL
usNY614D46g79uv+s6w7UbruSSgi9SPRL+mlih22rKmX5UoiUMcsL/1j04/xuegZ1Q69471nhZjP
YKsbmkW5ew8qgI3R5/8+cwBxYG15yX4iaZKxWOrc839rd6rF8GPQQt+mKSgXxBzzOu+MpIcGBR03
j4dv8LU9HzgYxmA3G3fEvjFZYfLqlAF5JxLnKwyx4VYB2Ah0u7UBL7h+h47fpzfMPMePslO1EAT4
iVAGidzBzps+yCoz7w91DL30Igo9njZ1l1rQ6XtvUMyVKjR+sk0RX+gx9s6NlyQzzPl5pSyVi40B
d7KJWkfGSkANyyCr9/D4zTtTG8SV8GT7YdKQDBW+2W1lZhmP3SJtbGRLVOp7DGlYeTTyt0Yi7+Ah
1HkTfcUz1o6h5xfAAOBcJNpWlQUnoCFb26Eu2+bnpShSM1iSymBvIfMdAqQ0WuMizV485n3Ldana
B1T2RNVmGUPCbm6CXlS4lz19l7n9Sz9cHCbnhKXpV9fzm6uVJvpG9FoUcEYFoSURLSAdIokzmleL
LHnjJXCiDcKvcaMP2Zcm98fdnI3fjIrMHk+agUdO6H2kt+Ot7lmjTie/pu5X1AX+iQBRwK3uLMKh
5zVg1q21AYWAnLGmoWU8ZgwlQrwsCBnG6JCggw7iUupb1VruuXcmorfrqAzS1DxFnvYIq5F3XmrA
++D9jx2n+QauQ1vvEeOeuTE3MhnveZ2/LEaT/rCtMTnCQYNXW9TLOcv7Eclu3b8anj6HmdHOPyjx
eAZVjBsOaUkPC7bwUyJe/6/O+9/UeYKhw9+mTt99T7vk/ecS748f+YML5P5mOTqOXqg7HtgriwLr
X/WdZ/xm6fxjGzqV3J/F++I3RgEr/MflhA04iHLxf7hALpJ/wX7Ns+Vbpmn7/0l9566EoZ/rO8vx
bM/wTBRhiCZ1x6D8/Lm+S1mxHieUZdcUNRHsNSl5FexcTb+iJUm20u38nWqMaMthm7YfoXrRxWBC
t4ugH5zzLDO2EQNPsu1AJ5CDh4B4I5BFMSWIRlfuBWliVzpAiYsemhZTTFuXKRaYzBMsvvYzg8Ii
VAKjFalqyaHMM3lgyt1vh06tDOO4ukst10KQGPeDH9rUAzIoYUHAOpktFEPCklh1aLpZ53RKI+yr
jdXBODO1Ky3KvCXHQKb0R/1J+4g6xfbJEdv/Skowm60+0mi2aRHXyqf0KvOlJrjMJImT8IkJPwCa
DTzZMLo2MpU0fwVzJWQsFWPqvngbFz29soyfI7nAh4jL4YgtUr6TR4m8UhBXH8neeXIWq7jqaSbI
wNaQLrtMuPBDJ4x9NAAng37sCXfYxXW1bH0u3dbAfEY2GBI3EjzGR4mXK6ALf/Xw4Z2xzqZB3OXf
RdystkTYC4BmM47nuIpoW89fGFg4F4LFiGVZdK1a5V8AcDYklJmnvE4z3qS6iRaoUw3muZq666z1
cUqCNHyzlELYwBnbTCPKujJxvRcjXvR7Z+6mRxQqhY/1PBUdEN64vcvNaYYVVYruvXaTsT2O5A2c
nTgWKM/qMboDbL26N1vMBptSZm5zRnRWgJrFkYqqxLUUb7sm9u+7IRZm4PT4S3YV3qhTN3VZEDVF
SacVrVIaxlDY051jwckUY54Bcu7ELR207IuGmgMx6VjtMdnX61cayAKKfe+l6Tt7a/fedMm7crjr
DbfgVvq/hwNOHqZQMcrhyTPgXOM6McUnZY/Oa90YeNabURoPBMs6d3RhgEihEKsPikyOQ+lbYxOM
Ckp2r4v4a2un2UOHk3kL/i5u4fXN5DDSQoiHHUoYDqJ0lkERO076mLjKQ4ubM3mBW7njJFhC/8yH
+tA2bn2lOugBMT0JmSr06cPOBYhdj2R11fk83FTPNTYINHij2Fb3dk0QoW0lsHdw/PcT+uJ5Nshr
npaHHHchTGiNS6bJmtZw2V79wjbJ1bFBKu3UPMHFljKlDCB1Hm6vFBKHm898NtAwjjOl1McPPA9v
MEPlhY5qdR1JwT3GzYhLOFvc9qDIzL4AqqeXDrmKHGJhRIgsOsJ4qiGqzirFHLITIy3gQOqp+1Cl
Rfdq5BId1YRt/dqhUfw8CQuDhCEbeIku07Oz3URqOo6e6BSc+9jhRTmY3vyFAjg1n8gNGsPOrurv
zKBoJ6Ngc5zmQpzdzDzHgJVnfNLiZJooTF3b2GTxQO5ubVq5/s10oshHTAmqO2QCm3Ir6twnoMYl
TDLV+PWBbgzzS4KrP7RVX34yxGSVJ+If2z1EsDzDz20rHNuKbRq6BGqzrWur4lOaTuNe+cAuAzb7
V9VyWjDMvrtRBVYvhbRtIhiQjAOuKib9u+tm7r5D83mVos5hdGvRbuizaG3FLOYd6vD5awWB6q2Q
E2cn2dsodTziOpsG8UfWN89jSi+bInqB+RMUVlt/j4e+flgsJ/rItG4+5IBSv0ssuZhBdX4xJAUj
RhCxEEnNONLunlMOhl5guZ0XBz1D9+lx7loIOy5dHmfHJHSxjnFGi6gHXzhu0wzoxCESUx7hFxnL
4lrh6xfHUpmK6lGko9oYebw8oxgTREklFixsy3KsBOWpBUlTgGyjcdD5+XUimYLXS8xsitK9AsjD
GRUUQr2fYYcCSqy5lUV8V3RlcSEMOA40C6vHRrMgDZu8eDbl2DUn5WQwlpXvjPt5msorUJnxhZCa
GEi97ySbBafUFyX5OoHMWRKbbpwaCEaqNc8xaVvLrnVR6iDhatw1KbgaURal5fxNt9pshlQ7+1+T
VmMi3GTpyPDdTRYEH61e+Xtot6ZgsjXPRCykNtbeHE/pY+e6HVPSIiPuPHIgkIWOUjEQdDb49M6t
dXkey2Ssj9lCSAoDamu8FogZkZI7rIJOK8+QsVIAvTSAIfbCJc+IpNhghO0f3Un1u66Q+js6m0cL
Ko5JHEWknvQpBw8aayuwqc8kgdvM7F2Cl9EFv0vEIkWYU3J8kspWfmA5BF4dUHANQEZaB2VFl6w8
dB3bV4A4b/6IaTO/INAYn3rgwDlAu7l/cmhVn1vWMPQ3YT0aXWt9wtdUohCprFNna9gdMhmH4zhf
F7+wyCclP5VObU6wy3ISPQt20xkFMLICFQcvnDUTViwdVW+alB2IX24lWm/c0vOuk6NW7a3CMn/g
8ZgJ2ST3dH4wYypcm/bi+tt174zVwon3KUERL9mUsd+5oOOJzqmBCSB0aPs7jYFLtKGu8T81hV8e
DLgWNbRyvaXDpxlDFEQoS6fQSTiv4WmCGI28sONGp0Cmyjv6FXBTvaErgLrn+p1ESkUmuskUOJDD
XHGG8Kk7yYZCwFtW5Z0SCw1igpNNUlfs7omGgPYOBdIGq6A6xMkqJhFA18vEAt4h8F5jgkelWMr2
FCWa3h2cBtIEkG7VfXS0iNBmxmPsbUgHtbCnzT0WPQlSLQk8rU3pyOgJG7azGAjzsr4cr+6kN0tA
Zgpjq9g2mu9AMKne3GqoTyCszCawxvYbbpni0ACp+qZoCNOOnKhRKLc0m1akXS7bpm4zTg6ZHr/Z
USwvtp4NqMKLhapy7rLrYNQv3tjaTPTIjjG22HLscym7DL/HkKkwYRioW2I1c0by81LV9VG2Kz5q
UI66TTk9P8arZU8kTk6ZBsWC3jCEmXlX4XZg/k+q3UaLeg07vJklUOHbVr2lKpcKQTdttF1si/Hz
nJTI1nO0mvFW8wgmQBAcvyhmZR8oZE2W9ED9tK1VvWDvXyoevSku23DpZUPiOK1fLPUdpFdaaY4f
RiJbyVkqegXJUW1aM4FNwByS7NaiCbRyXrbLnOw5kB5yPXe6jcwI30Ae3tCUX5i+5lMP5M8j1AJa
vEURCxeIPLm8+zSmPvq3mExg3vvsJzlP5Sn2zOjQx0WDXiEen5Fmg+gDtB2ahjW9+a1TFJR2evs1
BkxF/FaSmN+mksjzaNhGeb28ASL5GOC/oWTX40MHpcXYeCuxcWPNnv17ngwxGUB0EJWlybKf54Qc
YY0s08+Gxdvo04qTK4FZ0iOmiPeOS9pBvzdlASg8Jn7Z2IyE0LRstFX+tYntCawJGwRu15pCG5iP
Rr5M7TcHyesi6HkHHKe0aB5rPx1fGS3jCSIYFoslRBulJdV5wP+iIfdn9nnQupJ2iYTIVG4q4Y/P
RGMQamG3Tr033RxJjsEhQaS5ZYfICLQPaWkE+aFr4XdPnnxgB9JFoHSzgaCEcfJeb0afThQswXC1
aN/nWSWfdIP0+X3k5ND/xrlqvzgMnpC24/UzQg5o8xs93eYbUERWBxCS1j+z8DgYplVSv/uO6p5t
YzAvyjLFfYnL68UzPXjWmJmgoJixw3xMkF4TDEB29hgVpgNPz5jsykRX3y1yu5GNL6l/xq9dMoCo
XcDgmRw9NJezSUxO1kFIELpIDkVR4nXQOjf+jN3NCWYelXZTqGKNOajNvmcgrhnvvtepEx3z+DqK
EmDa7K1HsKGHUs9cS0gOB2YEfhnr/wZoZHeBbU4mCUirBmwBBBh/n1RW+cEmkb1n4+heC0/PTCwN
bbXlmhHcMiDSoDuG85KIJGYK4Jjq187JhjOLFX8EKQTB0JjGyTAhpXgA4zeJrcYtuyotW1cTRpi6
PvpmA1cqJJlljl+yuPC/x37D0paJk3+dlJ1dZGMjpHFTbyo3QyeNr6YizIeBGPFKWo76aaZuBAbW
bGsxnQmOpkW6wPHxzaS4MzMkhbXrZAK1Cd0Qv6MHsmnq7DjKTgbIE9t3v9BdRBbK/pKSv/R1KtqS
2D5vjq9AB7Ov5NVXIcP0+Amsff5Z0OV6SseY+o+WG3rxponGvYB2S1yBK4DWsrDInYcbC68zlfIs
WBbbqSTKGUPVYfQ4FFTVExIyApETvvcDfXoyEK3GHEIUte55juHcBGrqCzLjzOQwLRwuQokga4Vg
dMl3ZI8cFkla3LY2jhDwUUu8s8sqOcfQeu8dI0qOBTfgmWSl4on9ArG4ydfgZITWeMjXHOmRF+4M
FfxZjNrJ4YZGlF9vbsZuO/lW/NTWyz9I8X7BAYAncCA22kiFdd3HSrkK9X6aGINMb0sTcs8+l0b2
0DBxulmJY4TIO9xTuhSMQKopCf9+5LEyBn4aU/OhDMhNk37f70PqX62OIjVqHFf5tB+TuLhwyujv
QdXWIePB5Bntm9pRkjkETI/tx99/Mq2Yv3wybRNDBzeGXsz6RXfY2DaaorJb9q3XYLPzXGsAqepo
ZzmvIztkWKtAAETE/zmH/8E5bDq4aX+6OeF7//5f/yJ8395LPMefPrr+vzYfFaqLn/txf/zcH3oL
/TfdQa6N3MKltrFMnqQ/+nH2b57AtevBxDB1/kun7n+sw+5viDDw5ukum5DrmvzR/7MO27xIhOfq
LoJv1xL/ST/urw8TPULB+oHV47J21sf8p7XjWlrckrLrgRRU+a4l2A+6q5OGhCFDw67m40+X5/6v
FuHf54B/XjaeBVQEtzRXhMHoLw9vJqbI9FnFe4PwdohxefaBk7jFvsA+O80DtIRowdALzwBSNtsI
BUnG/v66yKgIxkHArRkASfzDav7VQc1yJvnY0z28WEKwl/zSlfQ7JhnAL2BhiOJLz3iMIaXmbdzF
PojeOvn+Am2gMOWOqPspTOarLfFk/P3F4Z7+srB5Ogxb6LpwDFPYv/wdcq91mNMob9+kYEgAOkYn
Bkn1899/yr+54xZf1Ybf4iMoWH3xf7rjXOQswRS0x8J0sHM4upZL6cfZiflgN/7Dhf0338kGIWhy
x21BS/qX54sGj6FDD/f3PoPG3eQBPslUI/7hU1iUv145nxUBe8YhEdwTvzxVIgIsNtqRu6djzNfI
GURVhXocyvTbf3zxmJ45MD75Pp7j/PJBtgY0+ffHN0rxBZda9gPTAVwjgqPMLL/9f3wYJnrmAZaN
0PyXD0MdUIM8tNw9jSQ9KDzaFckg4PAtToEPyjn8/ceJ9V78sjYRI9KTRQHmsE/9cq9Sw7MW+iMu
qh8r34Bg9C8jCJvHwkicY016LzO71tlhp8SiX2cEb9OG/+qsfpexmtrHLPfk3qxKxJA57nPEvi2D
c9MrQsZ+y30vGrhjXlL57VFlVYpKpPQg2TRLQqLYSP4y73Aj5GjmEBqaOQ+Suvjh77/jv1vnawNV
+EJnL/7L87gOxEe0N+4+rhJxzGzNOyKI0RkV2i8a5Komi0DMy/gHA+lma4lcPJMW7v3Dpf53zyvc
IsFIxdWZIPxypWVG9wJ5h78vANsfJyu9VSjskI+C2vn7L/zXT+JQxPsDQoWHX+HXe5o0CfYazEl7
lx5TMCmPKr4uv9B7Edu//yRm9H/dWuBJQ59Y9YEQoH7/859eJi3UE80Vnbu3/EFsSVJNiU8V071A
uPzoaDwIou2fY2D620z1cx6itm2DyKmYleY1LkEfntEeFy+uHPwuzpNKB/sdvop3GB3GHwGc0vnJ
73rr0iOCPedJmXJIJZts0xgqm3aF5yOtUFAG9dJVR92fvQNdf2fny2rea20HT162YmtiAsX6qXTK
TBtie7QfezK/49KIrirJ7DvEULACuoQA9BiuMqIUL72L9DJ7n1ukidbgMyguSD+dfZtclaF1jzmS
js8p/cs7dCQpDAurCzQowBubUf7J00V0NbI59DHLbYuowbVjpzLoSgMhNhFyz5aQzWcB1BvbtI6S
O2krjvFzSxe/JueGPgotCr8qDqneZ0+a3rR3nl5iqZ7cZgxzORGhMY1mC4F1iK4SM/krgcLpfmAU
8s0Zye8FVGC+wbn5BEEZyxGIAQf/lrwzfWne3DIJgYzCAtBKMCIGUF/m/OLRMLwasnDieGfdMru7
ZaAijPvW2XetzPd8HVoQAyTPCOBp2C30DU9Dna7MHqCIFx9hPghw8mwVQzeMKYGifbQv2nH44MjE
NcHKAhukggmEL+vW9hFhzrYp1LGtre6T0VXDK/6brAU/Ckp3E0ndx1+Egw54nN+/EBRkHRUGAtyM
jBOlY1volB2AVK0ekUEZ458Fis6rnxQ6o4T5SueTTArKTFL+fLmrwOPeiW7g8jErs98p10fAfZBb
Gd0b6Ns4cL8lDUIN1xfWm5m0OMc9jH535AnpNtVvzud4Su+QG0YkXqA4miViz3L0X8fOptgy0UZs
Bl3PwOit6nM3snnifaSfTwW4pA7s9dgAR5TRqaR4LAzL/UHULupQXaVVHOq9GSFZhGS5bLJczReR
l5APnd6pw7QgbjdyYh0P6kS/e+GAs2E/KL/iWxr8laWkhb4l2yN0fpemQa4OA3Ksq7MQp7rJrNjH
uaWteRKQO0Ovim4Mc4hgN2smnlNl8PdNRonBM/F6Jw1Avib0iLV0uTDJ2qnBaE9I2iQVYlU+YUti
cJjOOxBhybPQ/QmZSkP/mL8bdo863vktocoUsiX3dyqhVUw8HwVQXMgfhWIEUMfGK6MX94wY7KOG
jL9NlUw5n7btFz/yHYMDqtkewU0gm9eovxnNkpBlLPa41zzHCtsi5+rrXn5FrO8DzJ6TY1LhsM8Q
wG/MLi3fsfiTx1Th4/RMGX3PzcVe/e/j+DAg+EO8qg9PEfw7gO1asR3nIdlrE29hjqLy22CX/QN5
7/MBzjOMnU5RLovY2Hm6Sci98Hc0b+frtBjWORJjtgVFgjCG5sVmaE4xKXrnrkb4EpTLSKHQxQS/
oh6O54H4Q2kAp8lncUYY6r+nkPZexGL324L2rU2UMl3IdTJyELpdo/3o4SvaKUvB0+JTmhtDCDZs
CEsCAc5xg7/Mk93Jq/U84K03M3RS6iCjpbpicQf51VjjEjIjsDaxI2m7ulqxElKyOpxKDt6mvdw6
E0PWkLnLE16A7tosefp1AvhGy0EAVo3g2xMZPzFNrcdjJsCwNCDTNqTg+HhArWU7yVkLq9ldrjG0
ZkUxv8cjNgV+FcH4AgdUlI+6nhdH0kKc4wjbgPFCFsYLnJRCedquNp3xg8wVuqF5kwND8ZRmfCaS
wLxCi7iOAD9DksfiYBr1GYLLbFzowNLNoklYICUjONgu6nFXW8gFOqOnoDDAmSxSDo8RadfpTjKP
2qDVE5us0n5MtFfL0bWfOSQte9Uy6yR7/HV0DODzdPS2+MaMK5LThyaVFzOriPU0tCZg8IM9hngz
o67JxeCbm2Qvp3GM8M7qUWe5XUjKnLWd4CcEphrNWzuq6LHSo3LrRjEaWM+6WjVtLNzTy2YyHXJu
RkWgsY8N3cWAEjjzcu/YrbeDuUKf3ZlG5zPYdoQDRTwzPotwW3l6jIDIqjQEwvVcNS+cy6YHUaUk
MjpmtGf+WgQGm80NuE2zomX8J/Ld7Dfpj4MM86mQXA2nhA3QLW0G7JbwFjd0IUzozJVlPmydmisC
iXtx7wvAiEDw2bw+DYnsvgqNLl/Quj7SXVz3k7dDJE/Dqlt+zCJlXoQ0AFOUeocqSurPTHeQYXm3
Q/9LBIftt7hfGaXXVqiz+dxYhHDVsi4KyLPK34RutieQUfHGUHiZjHmElFfEyS5NIfoZjscyRmEt
lwgATIGJWKREjfvai1kwP0fx1d47cO13HTkkOcMOo3JhY488uQCrgsW12ifh6E9u2rUHrEMkiPRQ
YnvID6dp7qxD2Sp1VFGWsMurqt07Ng/FgEFuTySKs2dL0baR7PB+NaK4zH0p7lVTpGGlJ9Vb7aET
aS17G2lzdqa5Bp228+sfvJCA6FRjcVgcfXiJ0efAC5ns8UMSCw96SmdWnckOccWCjb0o7HnHILE+
eEVdHse0+1ELUZ+mMTKeTMNvd1Kf7xGP5Kd5se2g9k1ypAxDG16HPI9/2Esutwn35q71Zv3o2m20
0ypfPi52Ee+6kjgA4As3o9IIDkbNd8LpStc6zxTohkGn45XVc6BwbW3JcH5o8SsExB6J3eIN026J
bBQdsRVXpwxIAAMeoaP5V0SuC/Cb9ZTmZxA40Ar7EgpYMCEwC5Qd1d8ItSzOZIPkmHl7rghmgWIf
Vb5xtBgUo2l3zrmlPs9yqq9TPd0mUma/22WjLm1jQpE0iimgNrwps+62ftR17yZTvn2pt8MRx/0+
r7VX0gzI91LoP7ZtFVUnhHJQiRsIU7FyAEt0U3/z3bHe67wED1MTn6q5lC9Wk3ibioidsPUH+b2t
xoU3N4eCjUACH9QqBpws2JtX4vWNLnv8QDcaqIiOjRytiraiIos6pJEx3E+J/NTMFWFYGlQ0AYKl
hE1SJ+zbS093v1BTKOvJS0n0W/aD3w9BIYDV0Ky9ioW5sEjT9IGDPQjsmAzNeUEDtUFeLzZQ3F8J
Rk53jVuRXKx/q5z0oEajPxYK1YybAFczaxdAKaZD3n2TdehTe9kXWsWgxd11te3uZmeeaWU3mnfy
a3SjwsRMbxbPZGYSYo1xNqSEChFJNHuO8vgpYzCTTpJF+2TwU5yGoKpkaX8jPyb67JYMpxqd1TyC
MF6y5dA32Jx7sB3dADJLU69eJob7ZHWHDPLN71Elmon2zUvrV2Hm1yp1nmISODdpadyRRv0R5x9M
MIZ9C4tqDUJ5JkgAIVXbnFZZcmobV2LI8VG6qrsUUrtIniAmMz6DmNH0vtWTm+1iUQa8pchPa4a9
6bTlp8X8Tiuu2Hmixc+PEAlDJymayp41bmCXPquaoWffVS+SFE2nzfi3fUeC+mWq7UtCh9sSBN0j
TpGBKmS2q0pE0cI/oLZ5xjX7RjA96l9s7DZQHtPJ+bsLHL1OM4xbZD3gQrMabZkGysay6V8krSBG
YWx3o1M8ZqyqNaX9K22HozPOoea1kFaQg/TtQM5XlkQHWsbDXeXH9t3cuN1Hj26Kphmo90grTxgf
nd0Qjcu+HKOvuelSmFPuP/er5WUt8lmymu18S9CA7srOCuKotHfS14vTnBcgl0jJWY9SDnwlcyb4
ACNk2E04QjwDBYxfVVdkcVPQVRNnlSbCbE2K2V6LKRG6Mc2p6jXOMHzhDIwVWwF4IJSLzD9q7jd1
K3NL7b/ZO5PlyI10S7/L3aPMMQOLu4l5IINkcMzcwJgkEzPggGNyPH1/SKnKJFXXVbdZL7sWZaWS
lGREINz/4Zzv+I+BB0fCHpG/Wu33oZx3qqPOh7wL+j63+pUbceYT6LYGFnVFFnGL7eq101COPBY+
1cTnHiPARi5btMckmSWXfvUsOmQBLUQma8rkW2YCTDN91oJp/cM3nFevEN0aR0YLt0fxobX5i0R1
d6+LoXyZGIYCKnSLQzvG5oGsp3pLeoZmMauy93Tou32Clpojpc5OfiUIrPEbA+PWSG3rt98rsx/2
kCB5pSIjgiUb7lw0tKuktOvtbBf9T18n9l1aT1R3ng3UXIh6Z4Sg03Qubit6ll1G/3Maq4jiyKvX
rtXetx0NhiuD5i2RBrHY2BL2jFgeG0S5u0g2a3eIAbWX3Z1qjH47cXZsHaIXbmsS4Sj6J/rm1Gyb
BYOF+BJX9E54NMdB1b6idEGTBcx3h1+IuMCoC/EZeNOTZYC29StJLdmOAvGgX39MvKiT3/rFxpv4
SDF3yINF9vue+1Zc8PKLY1zn1alsDoiMsq1X1dat0A3cOdVnt7kdOC84PbyXAJBhNJnWxrKqAfq9
LV6R1HUHAoSNRymH9sfIs33ftQFa/5R1aWbbxl52ybCfCCpfj0WoLi7isK3DGGfjJ8g/RUMs3UKx
4DUqU/nPAl2/QfoyWVFgYVnEMuNbF7YqxQpoRH9E+COA5RffdEOpGDPx+ojipNqmjamhfVEKdbTI
+zCDHDhp7Oh5JvoD2D53kyG1O8m209/6WQNjar1twdd3J5TZk5qW2dsxc0HYlvF0n2I0plrM5cn3
k2FTKe8hYRCFTZ5PfNZheLAG19whhgfgkpFhWFsqvXWmtj1mgiTWcJx2IV90eqmyPddZOqD/a6kr
kdrdhiPxHaimEnBJ5rgZZlZ2cl6cuJPl7cuic8/8HL3t2UnuZ9caDqDmA5TiUIxUXzcb4GvTPQ3Y
46gs+3tOBuDam7rPKbTHN6RW3yt/Lm4bvI6vJLF90o6313BsigSiv9GzOe3VDrXdcEZT8mxZLrgQ
GJcVIMHE652tSiiHFRqcdRsxcrMmhZNcNG0CN8RgNlS1yt6WvWAWVBomU8cUdXtQ8fjUtQSkWUfx
jqbPecURaW54BCU5clzTiBLwZ1b9sGqSmt5KY9B7YFZRPUtjDEFeJLieSaC/pkMq7tG/2NsEL7pe
eXPa3udW+KMpoPwwj/PW0rC7VenIRe4wZ+su9JEJyN5H0Vm1v5R8Wy+c8uMwVYxEm8jbNgbGSAOV
wVqqoMLNYqYnnWgso8Q/+MRj1SC8q/n7qBxC1+ZYvyV1O2FFz1omHN4Pf6ozioMQVRfW761inXlX
2DCl8kGnN6RrEIxGGNKRx+8Brqw00S7EzQFJHa5xfHnbGSP62RoGdFJGzkT1XEw99FCnt4cHnQnn
c8jGxjoZc673w+jbUK282X9jL4qY0Bn9yd2SNZ/+rHnIfEAZBAbcJHGnn2b4cT5bfUSV28CYOofc
vLZ4Gz233xp6pNObu/kJSaqzl0PB7ahzZ8PW5BHmD2dm2OYfpOokuywwp00wEWWDW0etcwXZMsor
YuiGS1Ca7anwHRiVKCV4DJFr3VZtGW4zxGa8Cn9W/SqpcBd2qGlf+EHtM3lL9Vu+nJ2Ea12QHeW7
DC4ITPQQC4k5JhxzQVd9gwBgnzq3tLaz49d649RNdDDBjzyPjZ4f82honlKyCW8JOxKwEhyBBNrQ
oJ4ypuyKKO2DKUPI8p2f9hsy0lCuwRvkTEQBYq6MugiQsYRg0mJ/NLapv9g1nIQkPmw+wFt8aGqo
99AvElNpwurre0NCCFfFjkBx+e7lGK+XzyR/8jl/Ln0Z9F9t5SKOiWgm9z1vdXDD/U2cTmq118hV
nF751QtCkERgKdYu80tMJwJNhkuMU2y6pC3x+0ATInVwMC4M3MmcIb1cDQvwkz3CznBHoIO5bPb+
gNUrzSTKNpKkDAMo2ZSTXDuETX7rxuA+YCW8kLaeJRsMXWSFl9J792ilDuEQWOu2jbrtiHOYXVnX
40MWEd//MtuXiUFmRSP5rbrkbcT9go2on9BpLOEb8/g5K8s5VtMwE7s3vhCzdWjGbtwzqUXlGkTi
XlmV2uJwwJvaL4SN1HcOFVE9a53kDWKn9Op1Vb/FHHmKHDEZa54Wk8RAXANMdfpbX2XWj6nG/bQp
sxIQJLQpf48ECQdsJGR3dvy23/v+IiKMWxF8IjIBlqUt+cr4Qz6Qrttd4zHo3hABZHe88/TFjO52
5tD6d9Ry0GSaONiVfPs2YrC+SMDDATab0507xzNa+rCIfjCDpcJnXi7PlR13JGRw5pELgGjT3/V5
ZeTbMW7AVOTIBzEDO8KctoL8KbHxRoT1+9JFDQQTQsKDw8yDhRFxdLByMS0yxK1xAhy7UMPzgCjD
ShU+CTk2fnnbuXn2nHtDtDWToLkhiXQEe7JsXCLiNjVOaCBl4MqSmj+9H9XVHaWzL6Up7hiL+PzR
Ct99rJjoub6POjekliXveGqgCcqcYzqxUHexs1xXbbVxpTPcRUWxgaeiVqONObKqorWEB9rP7XPV
TeFzNY1E1KhYZ5i0KxAcvjm/ldX0OqNlXzkdqptkSDeGgqkcyC5e15r4mbhmJsRCh/Tb1HhRo5Fu
QnCay9g9XyMuI6AGKWWJtHHX1XRdMNwyiMghzezg4NJXSWsfqWDR/EIRIKFddNyKmNcCqRjtjGQc
tAFydEeNRK4FRtLPK7YqxoVEJF2TK4k8c8VEI3nEpuieKfrqo5V5EInTRD56g8Za6Xeeiem2VGyp
GXgQcjX3VnevbOJ0OMAgk4hYNoc2j2kikfdIlCKR054M28LfqcWClQ4UbKCYsaYYfe+N1zXvOnyM
y6LCrV/seejspWMp8I3hvWLi2dif2mooeg1phBsZVoCZmSzK5wCxGb60YRkh5wiyfjpeDodoDAJj
n7FD4HpjXvLqTrn/Rua8f8NGanECmP6Vxad/9CzbfhZuHBMw6hpJRlXtjGoFtjT8NuigppABunIU
3HCCZ1vg5CA4GwinW/LdygaIVRuE3uYXIl37GYO4eAF3J3/mfoULvwtVeVc1wmLF0GR4Rhqyyz4b
wxXHaNLTQbAZeUxL5J+wEbGvBCwqvmvEMHeuzIofhT8jn83i+K6fauetN2ycHgq36nsG4uokS4e/
rsZwMZYYNEzrqcSzEMrafQxrN5BYjhzzXckYEmnbEaGsgsS7z0XENCJoVHxvzA6z3cTYWUmUvgji
Nn7WlVW/sESKXsu4xPHLd39rKN55/IRVfvSoJA+6SudXcqqStyq2+GrqNOq+Wa3hvTMFdr4X0GoR
rs1ICGzsQY6ihJ9tyKYVj8hJwrbjSiHDtvT19JMgUCIMmdusiWzFJI6YvcTWXtkvhlsmR3sS+rYd
x/BbZlo53kMAnEIH6cljzOyxx+jkTtZt9D4zZOELUBfNt6DqohNEG4+iei4Ax1IAYrMuVYL7w33i
8qq+hqqv8Va3BKtZVEEr122R76cUQWZufCfdFVsSe3gkgRzzm8GMgVvEizGGoQ3B7GwltnYty3vW
ZRgrpph5l5sWFCWVVcpHrUZCAwmFJDpLo85cO+R/3VrdWBydUQfHiVwXApJr+UmYA4vB2uxwSxK4
iUzcCtLiSYWjQGuel/UtB0aA7z/lk7Okbus9bfKEFs9q6KLxlGULwa5YvBNo5z5MRI8PDKzHeyGi
5tEd/PrLbXrcBKLKT3MfwcF03OA26qQEf+rDdbAQXv7EjlF/5VY+YhzCZvQNh0nwlrUtrKzC9oHs
BsQ44uoeHQc4eGV7Bx7VcJOwIH1SbkN4V1C7+J6cSImr0XbOS+yX5WcVg8gLmYpWiooEbSTWWL+I
YT3aLqBsEAD6vSTsDwcLs9Oeeoo8dp/R+3xQHWM9FzsRIWvjxJvcy4ECw/DkLE5Z0jglLn9TsG+Y
ovSip87FRs/WlTMiroKdDbH6nGTcX5ucecVunMlxWaHbxxJkBVw2lspZRMsAO97QOLD/eCSsi+h9
BnZ+RwCV6/nx+xL1lm8AW7w5pibbufQbvGVlW18TPqhg5wTKeVYsCDVmhcb/pDRCpBYuLofsl+Gh
+GV+kL+MEGyMtd7xNGdqH8HZ44D45Z6A4u597395KiQl/zmGoP2MXYubLcR8Ec8GU3ujMkPiXfWP
tkX7xuZ4JMwHYf4LZcaVV8AywUTOWjdcucyxJ/Y4/re4mIvPNh4jRpadu048jVTENG/cjhEmd8Fi
HLF/mUh8JtjWing2Fh42f+PJhPfRExsCen0rYxtVbW/6dbd1kpTRmQLdGwEfOZK7jfK+iDs8Pb4Q
KeaMqPlotY+3eMKAuRpY3ehznhsFkfWd9zaTBIDhI6Z5K9uozA9tkdufWdGJsyZhjwZ31uZeD2W1
t/PBWxdZp3ceAYMs84LqOMY9izKfZdq9FzLOZAfZc5uoSH3MmQT9IC2jfcUfUsJdoJqoEyjdgxme
XcMJTxlqq/txtuGN8bLVSSNhvdW6Nzbsaunxdb7DcmqsDLZ9e3qbGryYreRP3EHYn0Miou+TwL0j
ijDdW3ETPyXkbsM3UcZ0AMCdDDv29smuUs67i3H+aniZ82F4jHbMSpDQR8Zu79rZAk4oxGEe65Dh
L6l25NnARgASeClkbVzJiPw7Ica/S15CgYjS5uLGROs4i3ziD4oFsMe+lEkTLD09y1M65nuftOM7
kjlT7m1K1bvBNLJnMWAd/83gTHpY/FXf/yas+WNchvO/k0sgQWELiqQa4c1f9D2zZXhBGk7BXnsA
YENPtoehVWwRBGt7e5wEmNqEq7XGAvE5zlwpbd+XOznk5qrnk82lcsF3lww7Jel0RcWCqZo8ezdS
xrNvtsz7Kh5txjKlR5woN+p8aD2nPo1ONt92KiVrA+jr6DIbtFFqFeseMAfnChUwdz3EMDCJ1r6c
cgOkhEnMD7T/Vd9CLRGj+0QC6CKy1+Z9k3ofGUFPa8MfyB3ErbHK6oqgApoxf49g/u+SRqwFJ/Jn
qdIifF3syACrWAb/RcRW8ijx9jlU62go6RvEveNMul73mcaWimRp1GgzyETiVoKQcE5Vr3chmceS
h6lBwLQhpyok7QkjWLDqS2+bhQAeoFeStT0Z54mY921Q4NNL7Sw7VLDk/0aYswhJ/+0luCy0nID/
Rp+zKOf+8Oil3CVyCNtwL1oJLLAKhxkY+zwl59noruY0eJuBy5k8A5WcQFz3X2y8eqjIi1qPgZtr
ViRZqZFA8Qrdxv8s5vl32V6IOJNwbMuC6eL+VSQYM8PzTI8krNxkUMUqMg5vRFS1f/NjzD8zVH1k
l/zHQfHIV4Cj3fzL5yhZGDsqkuGe9acGumH5CNnHtt9MU+H9sGjgOSNzua7MqNpE/eBdU4rQacNg
PD+j2QnvCh2gne/5skgXHxRRVQJXXDQbWycVT/g71cv//NaYf31vOK+FCRYa6STYGw6OP39wBLLN
DCR49gZlcSjMVuWufcFwEHqqXDH3d17C/K4Waf2tmJmesf8htnsokpPGsLNBzKA/3Sycbn79Xv9f
pP03Im3Ey4Lj4T9HHt73Vfb+44/67N//ld/02T5oOxiINqo1LwAcL3gGkV10//1fvv2PIHAZMKAa
4VHluPmXPtuGl2AimA795dvrWXy5Vd13yX//lxX+w3UQ5/Mv4khAIfp/Jc+mE/rLMcHWyXMtG8Gi
g4CWSf+fn7Y4jkmeqCwGQf2gDq2Z9++sxJhO4+C6twtDnccGMEdBcPm5GgIiO8sKdvoUZOdQVHB7
cAG/BCCHPsNW0BtT3O74Kjos8bLpbORVwmDM8Fa4hSNy7elM4ml+Z1R7z2B5Y8OjRWVQng0DmttI
KOTKJ7sNQzv5TBqtEh6+F6t2PiOnX9soY05M9pq9RT4BnlmRT7uGwSnhR0GKl9c3nws3RVbd5Elx
QipX3cL0nO/waZQfkEsF+1vP+6FTDEn8vPFOhpoubNGor6TnxC8Wo5t1awx4CXWfbtowyr+7ZV+g
FuGnRqVNWF2OkvlzEJzmGJTjV6dU49Goanvje8hjmqpEtpHX74wOu1NmahbooHPueiMI9nXiTmSy
qSUoCz1if58U03Qw8oVCGo/9lWYcALtXWfDCu8x61ixj43Yijhw+2UUlDiOuaKj3RunfYzAfnjum
cl9NkbZvqTc6D2QJ0ZyIJUcnIAdqIg9ky6ggfSSmxDqGln7J/KG5p/1lkU9C8pGMFnBpZZTeDElQ
vYyAL7CEC0IUFSEOPBrrtmmy9xEaJyDgAONrk5ombJzRHx6dMIOPJZOvCCrWekaDt1a917x5BEJj
bdbyw5ujnzrTwbzxw+k1seQhT9xTTzoi9HDTfCD8QmxTONf3mT+Gb443yRvqfecM381GdEcVjcOd
5huYLW00Ov0LTRADx1liC1v0/x/S7Zu9DGJSrCe2ZnnSjqdSONFlLBjqI9GAhWgG5hG1AQkx2v+K
2rNpvSGmFgzBwvARc3J9Khi9beaoAvtsIR/fMkGPSbE0ZEUei1mW97FXk5OVzGofGrNGMlWYdyjA
23XMvJcR+wyUT8MnjgXoPGYmwyZmd7K2fYT+vckHhHbECm/LsW8RutVSMYSI7E1fDaR4G97PfnSC
S9f7HUqvJtx5HXgEqOvTsePOv+AVAi+ZNog76anS1Edgolv/KcRrCeakJD44MeAmq5Sq2PVIOIzY
622zlpq/mWl+5oqOc9J9vTY02Y9eX4utM7PfjlMNpdurNSGnS5JGhm6unIk/mtp9aSOa9INZ3kZB
BDUdlpPbsaHTk9zPRHbIEiZSBqOILch6tOofbkJamlOkZ9yU6Cl6kT/gz0YsYCjGARhSqXedHSHu
VMJRWoHxFsG3PMUwgPO1GohSbMYrYt1v8Jt+VGQ9uLO6If3rg4AUj/ypPDhIo3V2gB8iDp/lTyzb
gEQOk15fzle2H1cMDfiYi7bbNE2kH+MQ8Zo95tUKeXKzntLy03brS5vO0xb7a7U2ew+EkSf716Qe
4XKY+UwivSdwteMbR95knsGCdCdGdc4WmLb/1QV5tPNqz75te5svk/ABxuAIZHhn8a5ODqx8HbKq
HgZGDG4973iOKxQRGnMsBvnpNS5Bodt+xmw0V2pnCR9xjW8QZJ0Paj/U1Jh57dJkmUrh8GLUu4dM
N98Td+TuYt9Wq8iOfWCTmvjVlk9b5y7ruLlC4W0k3T4P2X8aEfWx1L2zt3pAUyvHs3/IDJIc/3St
b7pWmOtSdNNJMOJ9xXw5r4c6lzcgoYaTaKbqVBVjgASQ3KMREhl58pQZUL/ElS85qWRpssS5jA2a
TQRn9rOX1j5sZl3IbV5NLMoiJwkuKubg2yZpYO+yAQUgUR0xu77y2UZOu5U63RuFSSBrrg7IlPwN
F4b7NlTGQ6/Gi0555VFGcZMyQh008so58LK3NsbIXRZBRp5s1+3qOgs2UVuEmu0/gfR2myjEYz3f
/w7zqkrREHaVy8DfL7a5ADyQxOHaqKJhlYX+TZ9BY+9tbJmsac7ZjBwZvNFjNQ/T2a25uxECO90j
FWu6MCI+czyhhxEZ6SaKhlsgfg+AoR12tQbqpIC0+1QRUNeR5bS3+0jubZcT3CUbeI03qQEgNg9f
AAgeksF/hpqNXnDgD2ACJvWbzDg2CEArM/cwoDlYqxmOqOjERhVRu+9AwUPAifT3tAjdq/CK4cyf
jneDNesAwRB5HkP3J/rRi1XG29pQIyCIuNxixBUrt4gMRBYquWkNgeKMaKwjYUNI5Hnlry787W/K
zsZN2gT5Ih9nGxLJx7gw2r0mLsddm8MwQh5CTf02zX58buix7/xSExNi+N0XFBnE6u60XINIfIq8
rGDBM7Cing2vCkgYCqJ+64n+rbeGS0QYST9m88Us49u6TSyu2aJaRyzbUC83aS02UcahOpniZABO
YuivbsDzrMsJvZLFHGrF4hvbVLZvTWYeHfl/kv0k8Ddz7o4tCMBpCuQNvqEY9Xf2ZSrk9OgFASHg
7rfaRzsemxsZfPmTPf5MfR1dmglf2ggM++yiBSAzbUw7b1PXY/c+cw19ZbMINpId/r2ZJxJCKsh0
rrdsmJ/KKuiecmI00UPrvLTQDKTNgx4EUgvptrfkAiUbtytbd5VaWrxw9CzQvGhC6V6x0bD0uBcW
zu05KIJNP7YEPeGMeTTyZDqWgZ7LvRcTP7+xE/Uk8ZpPqgnuAsPt5aoMjBdcJzM4R0qUWMgvMK3T
kyz9Yo3p2tv1TsHtbdtl+AAd62XyB+D7A0PMKrlg9t15fUBPbvdvZtciQSqR5Fe5/UB/WS+uAASB
CAduq6gkDQDyhv+WuapgEGodYzf/yBIHu1eMKSE9d6i52LP1IDMctOUzcZgl36y6xOnAgQFIoc7c
xduDApJ9ojbENRfJBxfaC+SiT+U6+2Ya3YuM42YXm0649jIkN66eTe5dqrAo2aIJ9TeZN+tbycab
4KTS2djaaS6Rm+wKBvvJZpyYVoSJ019i4TC5k83INhW3/iaj9Xri+A1uNHvfBbZsOJiuw+pomlSd
TnJBx5GejUkZm3QY7UMzK/FAFacf66yYd84wuvcmW1m3zD7J+eO+mZye9EdkPk3R33oZUV1GAgJP
oetZucpSGyHt8BRZabcBTzwdIBKKdd0a75n25AG5SnGDvZormuSOLfwe9jQKeWw9J+6NQnZ5T/nd
nMABWQdZj/GpibJzaUzNN0wp/ssQcf5ZJBPYDL8NMhO6Lri2uHfvwgg0P3LK96Co+H1DIkfJW46w
dHhHxih6rZrurYHv1Qw14Yw4EVe6RHVKTPIpEqbx6qZl8FaVy+K5SYznymk3pbcQ0fA4MRbirfua
DOTFVJTewwgjCt9YJeAzQMw4eU1OSGsDU4nG+mAzhuRNLeObCA3VvR8sIp262NjsWF9l0jU3KNfb
b3Vag3tyySxHr9QYHDyY7KFjofqImpZnBxYihpxoPSK73QEfCtdoWF3UAX30XOmkeYAUGmxQVUdX
u5X2xUtjeaQGG6+1VVSvLVPlX+IxAuBcfbUMxDkDTT8pnibOtNSrfoY44/cTy0rWNVTQYHScG8sk
/Hw1Ew/xnlppcuMOc+auzDGwiKDW6WOMPJScA69JX5QouDIKCVuNDerFLITYM8kVF9MnpaDHXUDM
mlLHaC7Ng/ArJC/ObK4ihnib0RjLT6fpw4sRSPdFo6oFfzkS+W336luomviawy95rMfJOrFuQ+mV
menAW88QGpYHOWemg7FILZdrlTyozNkh0kOJA+b6pScA8mCoaUT2DCLGG5vq4qhOnUvh+ts5ir5I
Vm9N8GWJt6sKTek22dEun73gmzm18IXgkV/H2VPbqTObc6wyj/rTYzfVue53WtZmO5dx+CW7yNqE
NIDHhG3enRen6WUwk/TgOoTHdU7VnGp8jtwaDm6GqgGEYKX3uTESbxhTmTO2NGFXmZAIrDC7WARR
loR1EnnuMnj0u/IUzHmHiNQKj50PehK5Qf6TF9pso1D659xP4IYWXR0hz9I/kfV9dIiSsNVAXZIj
eUVmO5krfgq7kyHm/Cyq6Bwl8QUFM5Uj0GNL4h/DWo3OIScQNzXwVo1zgch6mAlbzPzbBRDOyBMp
JsCkNRqq8bw0+Sy9qq9mlHs3KEPSJUKNYjthfYqz6yVJLNZe/rTAkvnOEY6HfNVrEhDGfYuMlBJs
jdq7eo4p4CN6ueElFq5HpJp4zHQc7ZxoF4wR7uYmP0Xl8JCN5LvGI4eLpiQXAuiuqS9LVsauI+Ac
UsZ0lznqx6JeXnR52aWvkcKii1ekMDY+Pbfn7NvZxGSZi0qucdvyyEaEsreZd9cXybc5EZeY83Nb
YM5baoN0B1jR2A7SsLb0edEhyEpYTE7aPgyLGF0kqNsH1Ptbgz3ZgZsiO5kDaJBmKIM79GsOKZV+
s65cUu4Q4KNNbQX2kqk3x1VhcbQDCbYsQlwjxZ47tF4ti+Jp4Xo1BUT7oi7Y3EskGxS+h6S+yYNg
XPXxMN6UHIUQJoxpeFRuVn0rWY0S9pGY0UcbkV22ihIfi7BIGgZ6kFMfytY0rqD9y648tg4JJ0GX
sDCf+eAvdZlXl6zLzO/cgO1FGgVtbtLyi2d5E5AIZ06Q2ozwrQch+4I20dk2A33LitUL/Sm6A4bF
LUFADDq7vS9j79pWE6r5zutxJtTu1Z4cZ98PVvuBPQb4jJf06bcanQYwHIwoSqLEwqfiHXhrwnPU
mPURzn1AdtwIcMhzkCfUqtvwBzhEPYnxBadS+dg1o3PJfave4z+o55Un8ODxmT5YpcUvw07qJbbG
L1lk1pZOaIkTGsw7bfK/+glpLVPxgbmBu7DFgLLccduaW7be6IwipKjE0dwYmUCxXzjxzqewWIVm
YyyUxTBDPO4y45kzvrZChv6jX0wGqE2LdTOBv6igxBYoH6TK2OXEGuL04GlWjlgE23XY1U+Tl7+3
ckSnmBqIE9PPPHeyo9+0t+UA1xYhQyNX9vSqaH4CvsO+bWoyTfX3uqmMEyqi5DdL7//ruef+q16Y
DeoX9eKjZiecsuv8DYLxr79U/4JiLKiHP/3F9he79QHtlb5+qb7gX/1t07P8k/+nf/N3eMTfTDQX
FgSMk/880XxM8zz9U1j97//K7wTYgLAO8jMc1xO/hvhMJ3+baAbBP4QpPDy6JugXn///n7yJ4B/s
7X2c5oHDbNvymaj+c6Dp/0PgbIQlS2IIi2v4Ff986b8vuXjX/uPS6y8Tf4+tAuhX1wLfz6g1cNwF
D/uHtUdkQ58fK8s6OAAIT3M75uu4Rt0aWchhp9FH+D6z2E9UvR1lPD2nY44Jw6R3bkhr2phL5npp
ER6WJYoOj47/WqFxONYkId2WPskGf3hnf38Bf9zS/XlD+O+/77KJ+sPv6xra69JAm4cQp+WBvS9S
UFxIRH9EVI34p5gHCYIhRLT/n3+w7fx5OfLvP/ovGyImnqWkQtIHRFgpqKwuuwAUJCCkmWoM1Ea9
gXhH/WGCmGWbfzcNaEq9Jiw3IfmZ64ym5qDnClklVcuqXlSAEHbvGDX3R0vy7nn2tMhMY3QPvV4j
XQRR11bioOb0Kods2xbpMxJn4lG6xiClSNLHvuWpoeeNbsbmvk5KzjAkJo8DtwTyWB+TbUG8RSFJ
pUVPWd+6fZjettU8fkv6kerakDWhooW11eTP7VrZoQf9wF8pjgXZi0BBIdKHiKLj0RTPzlhPR5/s
7n1hF6DopjjdZX7/kbV4wKH7Wv2bTF0BUopQ7pmNI+BNomTbxAXWYWXPrhfd9Xp8aDLZHkFbjIXx
5qgqPHdFVp50Fr4qtoh7N5TnVjtioxPPusnm+LYsiSWWjHI2ATLvldsv+1jsIEPgv3dEEG9oMaoV
pc+JOg2C1qDv4Ea5O9Xk3bYXkb02Ers7yWGadoyG2DYW6aUGzrebWgGxrH4qnOkUzZqJZEvwB/0T
cVUkHDYnGEvuKsb1tstyh9CEuFS7dCaZliGKs7VGgGPcW0AgtKi3vLBkpVLZHd3WE9/HGLkOqfIk
3rhmpxkOpQ/Iwe0T35oVyuwzeHIiHQOLqWQyPcEGHh5Qz3e4PZG9Sq/fxWBmGX0aTyiDoW+2QCSJ
MiOQrGYpHvaxvR0wM9/Qt21RF5pbEroi6Lye2KOFi46OI4N1YNXJtmFmR8il5xLnQUjnQDDoEw3R
qcnh5aHYXA9JeZzt1t4USVqQZM3TPLnIS0eJGrMPgEjZOYvbMU4QcKVduhdD+cPxq6cu75Bzo5lt
uOPJeHxiubhRBDmsLOLGNu6Ijhj68AGJ6rjOGyKhKx/Ob2ERFFz0koKKHK2BTAiXTxOZd4SJ76Wq
FLN0WxPD7Up6ngIbjhGhyY+KbEMBTMPnB9m+oUtBsiDOZIvxVRunERA7CNJadtC1CCR6BF1qbCAY
0J84j8uUcIP5EsikTpBK9tnFww9HCBqtRMc+iag0gjG0Ye2Nsd27FlWb48VXMm7Qd1Kd0rsfmzK4
pgF9cKOnp25Kz65M112XXIbGJL/YJUkDfuqkXuaiufMbAK2+6K9JIoNnq8nTnekTmyv69zwFiujF
Lam4hJqV1ZMy2q01hbsmKT9wHG47VgSbwjcHKlz2zgxUL6H2kr2JEz7NmoeUKhb+/t3kx6cMnx5z
aSJmV5HW/i4G4oCqBOfdD9MyXd73SjxOCqKmVVhXQ4kYcA6rarbc08dgER0gqtbDyjbZ4XtCsgWw
EJkep1m5fFSho9dYleGM4sHaMcOK10UCz38CCHxoZQp9m/Q3JtgqRkuZuw9BRDhaMeTzbSaa/lDA
4j3ZnIsUveIZhjOyyLAZz1qM/VOLlnc3d0zC7NgQ4LtMRpuFz1h6rHxBMPkkCKTu22sTlf09fmR5
SGsLmyj6pEOR1UQ3zLS8HUTUG6+JCDPVp9Yiqsr18iddZd0pjzruh9xB0zwDNJc+2mUdo9lf9MyG
JduL1WC+FgGzIlTE+cpqCfPMcgytC4foGC8lcGagwsOhn259wVwmrJWLUtYgjWfmvAOEV84BwgSs
ZQAHPYQdoz+TO1r/JFDjQNJFtwcHYq0NGqYDuXffbCbzrMSjBz+1GasnkbHD7Qh3Y0gGZO+ZeSRr
qrrQo13/F3tntls30mXpV+kXYIIMMjjc9MWZJx0N1nxDSLLMeQwGp6ev72Rm/7/tzHKigEahGugb
w4AtnYFkxI691/rWP+xjl3n4v7Uav29jvmux70tLQGv1fppgEic5pKWaOUv3sHtBFQsD9zOMJz/3
aCi3Hm2cxsq+dHPd7dBD0yW6PF2YCU16+2FzhK3WotatmFyl7W2GEw1daMvKF1lleZbIQclMN5NV
2ufRDtFluRPjSIQEHbGVKs1D25j+jvL+G10pREwd+R1FW9zyPgzo8Pnbrz/vj7qOv37cn2h0qZPn
4JWltQNpGt6pdrSRcPgwHvB0/4OG5KKO+Ms3612A/fyBkugn9QSEqrDostHaJdr7hjWC2YF0XqGA
lqtW1s+//lz2pTL71atdMHzfVUJGwnkWn4rYyaRHoyjtJ7uIyTUZoq9WwqmrcbPuRsfoHPxO4PM0
RrDpWQ0hA3nTVZDqXcqVXCluTeI6xk2qdHegaw2xdtTFKkm4hKRamQgYU7kSU1XewNIDgAzbZJmP
Fr+N7hJCeOM0Xjbq5rJl4+k//vpz/t3186WQFicTDAPeT6osy3Biy8iUtauC6pawNHdXgN3Q5DX/
wwtZP472/7hTvn+ln0rhrBvLGOeMvetR7+2cMPi0ZtUvOMZXyzJz311Bk22UCMiJKCNbFV/y6tef
9Udy4u/vgIofZoEnfHhyoOR+uKQgSpD1sY/gYZOMV1z82gVhupRurnED6B7ErQan8Q+37d998B9e
9qeaWnQVi1tF59Zw5AUkL796mcXO3BIGmrSmgel6PIdMJW/Aj1Zrb4AG/esP/rdvgYscIPnAvMG8
6MdPnmOyUHWRWDs7yaHwsCUmUl0Rf4i0vAPpk9fuNWM56k2SXln1m82v38DfPLrB96//0yqhhwCV
QUnqU5frV5gk47krQxufpMtDbER/aIP+01PX5aTw06PLJyVZ0TMtAUrsp08bD0DxOwKAd9JW6Yn4
rWGRKHw7v/5Mf/Pk/PAqP30mZSO6QJEKJaHj4D/wAelPOEAC3PofLt/fvdLlo5hw7Dit/mXhq8mI
m2eiX+eQTLHBt55yF4Mh8IVff6K/vU2+f6Gf1jzOH7oL89bh6WS0nAzddSo8ZxtoQBPJpO0vWQQU
B8gO5XFzKZRF3dVX//Am/noOdGB4CR5RUwQBZ/cf79UwHocGE5O907iWkce2/X0tHGsP/9/e1fZI
EmaAGrtn5pz0E+Ub7Kil1+Bl9QrjzQA5DFXbYHegukBPFxVPbmszIEvEIxKE6h8OzPZfbzYsSkDW
sAhf3jF5MT8sKnB4s7CYW95apI8Ij7AMxLhmqxkfuWvMV2PgjmvUBzutCAOJBhSuHEKNDS5kyndZ
5uu+YOto+3JPmRquUwYOBU7fhTKYRHOI+FbXQ7Q3m4ISjomwhWYGcavH8WzyL+7NpFvXMxrlrg4b
upGfMECsxTQ0xdJ0e+eklPqjxPm/3YK6Sj5aypRv3c89KJ7jf7Wg/vf/S40qnjwezf+8UXX/ViT5
/zq/fdXfy++Q7F5+7M9mlfmbLZl3+1A3Lyvxv/GoCPPQ0YnAhfGPBNX+rl1l2b85AXBUpE4kFrEI
sHH92a6iw+VdEJ6ug1EJ8R5yvp/aU79qV/346GEpClDmBvwheTWWm58evbaxfe2ObrtmSEXeVtEv
MqN5xc0XLVvcvUaXHRw1ztzKmGm++6Zu/lidv288uT8VXB7MWNNzwb/yndgWn+inxWc0iJMePDJ2
rNyYd2FH7ojRxTinKdwXFzHSYqZFfEoUeCqNApwACgvkxwSOAw8ALsi4w9JG8TCP517S8R7nUcKd
maFgS9LBmpaotqRVRH0mislXO5EJE8Jwn3bYI1Fs1N4tRbjMruoLBJ7Ik3s7JrnCY3Bx7r0ZD9o8
Dta1UzFDW2lXXUUQ5xNobyhz8FJswA3VWKBzBV7OmWkqmI2CnFDY8207kRcofGXce4SDoPurguvB
JmjDg4VLpoZZbhPDmB7SpKFr78GEs9JxXsS5q7cM5+UxgBi2lSyB+9mBRoiYDibZ4sJ4z3aO14iT
B81d4VNLNPq/Rlb2sQmNpt5ixgu3UQKtG2mOmy0rRmCvCKigyGeiFnd2YEX1UjESYFJk8K1hAtzB
TFWnDjHPbsg4L9+iNOw/i3AyX0pHKTht0iinpTmX/CjN/+F5iCIYQeT6Fl9KWz3pxpCERSIcDER3
9EvnCDKj3kVQfdD8+8mW2JxXV5vBlamd0V3hVLnQ15WGeQV4JznCMh+73VyM41kTn8DFyrJjD7p8
mwM03wo/4kSZNn51KplT7hEuFju7j4f7yK5SEhyJ101aDVBD+cZ61lxuhbnhLad1A5Shhq8UeMW4
zYzguqC3dwqyJNpktB+vbCOjmebR75IDCj7PUP7OwuO5vvSg5WrstHWakiGul+Q34FhKhxDzmcEg
Pm8heND+IdHFA7ePwi/Y9I6YV26n1ZMbWf6Tl4E8qNOaezqSR99qkF9e7nPCofJlgyL3yp7a4L4n
cwpkhu5WVBV4gs1RreiPcLaIGvYQrqC69xD9BQsca9kXPyLkZ9UjrAWZNQUGuo6sajBfc7oeXlNf
29amBhVk8hWbWBUz1Sc8LdYgMbrMc8FEahBOv6FzMJ/90rPfSyfs7ky7xKXqAaLcTiVqA6wV3udM
8NQXb1DBQ9cpQfEWa+M1TcR4SnTh3ENCxQIErqjxgJJnAYqOsa/aFfCDcNhYhsE0P5BpuhxA2RDe
npHZsifNYHivpxEBYM+g7ZS2Vmu9gtqftrMnp2UgLZ/dfHbTdzW2+c1QpExFI53fq0RIUAnNXpWJ
hA81fJs77OZFOw6brLTtb1A76q8JQVe7KZLJVZPpeD+31NdWWBOxETV2j5wxro+mTGoe6tHqHtxB
BB9paId73G3zypA4Q0rA5sD1VSF3mdlAZ0wQw13NFgluJAu0TzY4SEhGg4VYYwaqOPflRg9V8g30
sbVmjF3elUbvMygPrLcimt0bgF56G8Zs2UDD1AOMrWqb98o8dQRnPMepbB4roB8PENmdfawGXGr1
1IUkgPcZBCmdDdtaKQwfWZmPJFgTPdR+5IkgTDi224h5X5r7zoNAwDCswUeGz1DCtmE6xd/C0Ha9
nTOZel5bNI/nHez62WFOmE7ryq02PpyBaRHIufBXxKkym4zMpowWcpzIsWHE2K5GPItv3GkgJUr4
MCxIXgB7zEhYjUkeY64dI+RLN8A64ZPYl/gi7TVecOrqqTjM9mQRMexkJH/72Jz2ITP3V2nI4Ea3
c79vTC98UrZow1Vq9IMBb4Safo3AjceG9IfwDRMbwIcQeeCRRIjhEcJu5+1DUr1C+EDZfGuhS1BL
y6bdE0bJ+FamY33ukOKJQwzsb90bpCdjAqU5iHd9W/a58aWk+/WJTrNH5UhTd/BALa5NrTmXoiol
O9OlQnvm5kcMimyOceswZYG9pQNGrAqWNFihzdC7iNy8plNL3TVYFukxWy9j3durvosz65JWUToL
Vzfdi1EiEl17We08AeAwnxt83kuzmcVHojuxtJ05WIFkazdmHqnrYXSDr8qeqzOCyCBFydeBerGQ
NRP1PF+CnaIRwTj/LTkyTJ+rZVR79j26THKacCQmTEWcrtnR4+cNkMWXXcRz84AqwSLvaoG1lRoz
U1mN5Fg7rBcxY898SzAa+K4wkrpYYk+ax42f0bfeItT1OQJc9h2Sd6pHth48zGSOehpXUV8/ZEk3
HzNGyRsuGaJcCBUbh4kJBDNQDziSGHOZjddBUO3Jgchj2wATWRXlTUOS4FI6PA7M1T3EiJO8UeEU
x8xuPfs6ZQh9RtuL4LkR5YlM6YHVdI6PBX3PbZxpFM4e0sxyyVgOh2VQ2/EdGduWuxrMWV0yAQfz
8qCjWpu7VqwjM/C/AkTnvtXQ2ki4ywL1rZ1M/3qeUYuheRxhQZgRlRAxi/Ez82dnRUB8d2tkhKh0
7ngTE3t4N2dD9Gh1Ml1UAnAUvBjiW+qYfi0JbHgvAQWegMLE1+AReWyFazgPBEP2H5BPMp6ZpPVI
KIkmMISxa87QDW0Tl6Jsr/w5PsFRXudtz4asG7V1zKqmghDxfT+mw7mfa344dprsLCoDkVaS22dn
tFyyTZHz3o1dZy4mB4tlHE4IYwpyQEjT0gY8aqOa0bwExAKbEWwD2/5wekOuBre9zqYI9DdR8qgb
a16PH7ywtQrvgKa02pJ+JZZFXccbgjcwzftp6d8MccXs3VWWXawyQVLLgvlIdaxQRjyzy6GBqLip
qIMohL4VfTyfJ1WP+d5PjPnOFalrL7QNoX4x4IyO9iKGM7YQdLc5x+v2k0az320dP+k+tB8TZFVg
U40XfVvXO0RppMXnZU/gkJ8nTGVwmEuWVomoMUCqPewvhhJ+NSYKgoQKXX5xnKk5qqnD4N7nDmBb
L5Lsh7VO9FOHYO4Jz0lOsrk/F2yhYwMSxcX7v+BA6IAybEz3Y64z79Yhw+3Rmikpl02fZJfYITJj
O0H1tYaSWD00jLeAV4JmAEkA+eimUfV8zsy237Wl59ynRhjsTCHSa9Ju/OcRiSfjIEvD0st87AgA
AxL8aRlUBy4eC3i9jIJcMCyRiEGDDCnYpp9FQSTNkE5f8OxIOBNqFM6ynJhs7syxak/aCGK1njjF
n+K0qGmlggNZRikmvMt1cVhXYUgAzXQdFjE0h1Kd2mbIh+uycKBftpGBCzwv+n4macmYwuvIHP1y
lRJpRsrhNPMFpRkD5FVGQSw3corFlx6Yq0H/04vMddoL0R8Ct+n9jYXE/exXeXDQvcfUMy7MkQqY
3hxWRieDdZEGimpN+MSMDOLJi033iYc67Q+WgwYMv+14mll0Mpb0zHuY6rAvj8g2kJabydDQ8h8D
yWSTQFJK1nqsj3OZExaG13dchcbsEUBjUkatB+YVuHg5OfSkzri4KbgmQXuIpxD4U96njy2MtOQ0
xx0BTpJo631eEXyCBMf4NK00ZBJi0V8w2VX20ziwFFd+nD7bg0P0aZIZ3RNXmzhla06BbxY2Y0wW
812ocnGcnQjBiQy7E1CEHNtEiMgXPTjXiTehl6PrjOe6l3kM7CsKFbQfNWkgGI2870zRgET89Xns
p14QxzEpaL7glCVrBkbOz17hUuhO54nTrTGp5/uqi97LpPzCEO7ZDoovBA2ysXrMJigyXxWC49tf
v/6PbZU/Xp5cX3qVEnsWAb8/tlWATIsiG4xu3YbMToy5Lk98+fk/NKV/P9H+u1X4x8sE4nLiNHkd
Gfx06JzU3IthdvS6j7qLGlLX0dIzbMPfOfHFHZ/1dSEYfZfx15LtCWDbADlrYfU5eLBxkvvJKPXJ
rYvuLsN1cXX5ypYuyhJSKRHQC8FBIcncqMSrm3rdjW26VfhHc/X/92P+QThkuaQ3CDaj7+6sv2TW
3H/mbwTWlG/ft2S++8k/2zLWb7agdoEmxu9D0ELn409X5CWahtgZGjaAaOXv3sc/VURW8BsVA5lE
CHov3UqfrvefbRlL/kbJczH7+j6NQUnL9r/SlgnoF33X0caNKaWNJcv3EJj7tiN+ajKSTpNcrBAg
fszuzrXS5NJ0ZsxLTbYJjGL4TP2pRO8LTI+stGnJSFVt+ti1d+wU9iaokEGvUeiZpP9x7rtV7tBt
LCxm++7iZYvzbDzDZHavbD/y9uxC1abzQ/m1FWG1mfMx9fiVdfeuktBUTJ0vTId2TNxnzpzxY1eX
6qqpWg56UICSEOO+6R+9cfb3yTDAgua0G+Q7Ug7Ba0UDyFDtGD0+luEjTOaWJc4/UlL2z64A5CWr
WuCmtNxkZo8DgtXCDdg0LAEZg0yn3XMoTh8IRnUwSjfuAC0lH6FyEklowBgJouI6Q8hYLVPHqslI
MwJ5pUM/KbcjvbQHcC/9S2D684TuPOn2dZCG90yQGUIL4menRdK48XnK2gFhhjESltnFdnINIKB/
bEuCgtbkXZtY5jk/9sN0tiar33EcHD4qsyheDTtnvVK5UtfMKg2U/2Xeky9nSZhAg33qADnex5ln
PhtVSReNrLp+PzU9LPYwKtetHUVf/SnnC4/c8fLGcwJcM967ZjaI/6fdVaR5n8w8oWHDZS7fXV3L
PQkXlEhUS4I3iY17QbBetc3M1LoWBRFZy8ybplVYEQ3HicvulugdoVdQf5VYCluYw6G/6tVwIIIF
SaQWRkqvOr7TI7rHgYBfa4GzhFIbDW24TPQ8vNF2Tw/D5A0gz251Gi5cn0OBW/TOOrqMuuM2QAij
KF1MnKjB3Lo7j/zfx1pVHUFwRnO0wMndGYZXLMknRM0R+NG2KqAtG91gX8eYu9a4qqKdqwvzyBUN
98JQDQCyzHxt5nk+xE4U3lR2mV5NKTdqixH0vcPutTHtUeFaw1iLDea+IWxlCMhoDlMd32TZOFDr
tvVDbbMWR9p33hLrQk0wYXJHdlttXKocgDfqyTTrFzwmsLY9iiMu06MKerQ3pe4Y9XgB5KaCII92
TG9qgfsYP6lbY4qbKTswrC306BeLRtd6h2etRg0gROYtauys9zwH3pUiWvUuyKR7ETGM6SEnpfhZ
eaZ/7wDIJRTWtmx/y39KEGiNF/5K0ubTF9FgV8m4p84mXx+dzg7QGv2pZI9piujBonKdxxIF1VkW
vr2z2obDMtwunJjekHwz+7yGQFNQhU5jqN7NvKD60MiQ7r3SomTuEhaKCKHuJdvUnW5iyEO3HCwQ
d6cYMQiU9aObemwiTs/0ru5G34f0MkwXFF3g9i8Xwt45SZzhMJmlPGeRzYFssPuZ35Q3yMy1dReI
xtv5QL0CIpdlf+8Ho3jQhTfsEBpN70GeFPdTJ6p2J+CnvHN/J99iFz3WAo86WqhyEvGbFeYwhpvR
B3aGltpDXE6y4mSSCLCw08JuNhkqsy3EOYBNILbibQ2D7hpBt33fFwKQZivFl6xQNh60RvAmC7yd
caKtYiXcxlqbbQfrUZs6up6HFI9wG0EswYV16uK6+Ei5hbmqoS0e6dR1J4yDNgXT3ECb5hRu0YM5
l2UxxwviL/G80Iw1jy4RgTsOqtGRuEvmk36WcW6SknFPa1jWPWTiSwKKmxtrnl/v7GVdceu3kXnn
AA2vF7VF6PGBahgbbl6Y9lIj//0Y5kuqc2FeBFH49pa4D5bYqA5pM2H78ZnpoiFEMwmOvcq2STE0
ap0lPsohM493Q1CezbTtDDyb0lgxZksXcdBZu9G3ilvSaIYleSTVWpmwdFv+wGwyl18UzDWoWgmd
liS47tMkuiLuxv/I7CC5GqIw21iimmm9d/0xcguBBVKa79kMbLHvMZenZQhRuJDekdM911BE7ikE
xUhHOKWJ4DHAK6cJryLerGENTOrdUuTM5pbR7myndJ+MuNm4vn6CXllvefTjvZW567gR8cpIs/4r
rPnPFLzf2lUGUNvcSvCV0jnPAesnuJi2UkuwjFZyDZrDW8nQNW4to/RQkkblPjLCgxm1OB4qdzTX
XW5MzxMRCjGYpai9FSHadHzpRr1uHUEAYw5A1Bs3BVq7Dcyh59ycxD6vO7SnbfJ+aWXlB47D0GkY
6WarAf0hHRBNR6ULnf7O6p30CpliTYOl7s6tEEeADK96rHd0D4BtqBmc4EhrpJiIovcrcbKcbvbh
G/lw5Vywr4QNBIQJVJ5Oj8IufX/BmWMi2YT8pW0Sm/xVV06xbez00BJrnS5DOTXTClcFkATLh8AH
KHqoadPnb8WUFweXGcSLjX8oWNLoS67wuPYgmK3GXGJ+b+4apGHbuRl8DoaOT53Qj/pYxFFWbAT9
lJUibX0xg637LDrI5mu2eAmElQknxYwRYZUeyD2C6afYBxKhqnExCVWqJdMe96OslL723G64ht8G
MqrEi+gNbGLk7EzAjMVVVfnXfCxiFiI5pfe2InR6GQbdUC2tcBgfMeh9DbjdX2bprih7rmTs602m
AAmwIDZ3icv5uepkYf8+aeJDVZwc00jc0uKcX4AxQIXGNnBIbRIjFoR4E7c0gAYjR4gYaD+T70pk
4WvECyPR6sY17Fp3URSGt2ntun2okPTuIjdf5/R8Dm6LzI7Yregxk0V9IYPKb0QjwpjtnXojYMmW
KMXKItnlDGB2YKAldFImE1jYS/BFUJ3KG/aAYavzrD8TfDcfBAXZYzJ72QGT4HhoGI+s7KYx93Uh
OzYkT55oSFcCrWri7+OW70rSVvwQjTR3ftSpFdEn4UYVDXTUwpJbuAhb4PwPkwtlrJPJypNDs6zt
diUU2e7mEBJ0UDYaVrxe66H9tJ2Beq7iVsxGdy045CxYiFdFBxfccY2VK6Zbw27sA6daZ4+1WO6S
IqzeJOvZUjmUFFIVbbKG7bOpu6RihxEd2b2+f0twj3WKwmbYFMxtrkp6lWgRQgJr8xItcUj6bGKL
c9TroxDTN8tSsHB7tilQsdTVX3WugAtI4mwFpdY5yCpnAyeqOXZzRM7NzIFdDewqQWv1913Ydg+T
cxFfJmO/GazxbEakYntoCTAS4ZANwSAv1IA0GNK8Sz+tDjaQQGBy2/b4wg/1J4bz83vr4+kPUzPd
OHFUnkwIok9839haHVeDMqrrxEOWnKEsjoizJZQmRuzoebd1z14eMuA84hnMroX08ouBKrxFKeGf
Cgh+0DEI7F3EdSahthd0K2m/tSfOIcUtLEb5OZu0pp0uLK/tUVhwwoV70G0uP4M4DK5cAJULJljJ
FxucxlES50mngdD5F8MquiuWzXxP8u+wUo33EaEd3nllCnPESfW5cyz/xXG6bl2mZUnzmY2eushO
6ysMZVg5W5gPYKwjpS7S4onVA19cNI/lJufotAtarJ6G9Ka7ME3VTI6XPlSJF65Kg+QNe8ymR1zV
5fVYxM+V64U3ZlhnL4PpNzuIsgmQeHtrt9TgE6jejZdcnEDM0pCyW2AUvJSdrg4j9B+2hQqYxVkH
qCjpdcsnk6MMX7NPCrxmwaN+rJ5xy8tXAKHZwYpKbuBWOSffwmSxmCOtic/BVHMbCQZAhXb1WtTz
+BFOKMTchH0v9AWvPNEuUh77+OhhQa+85sHt+ujJB3e8hER2mRT3L20b7eco2zJmrfcWhAymYv0N
O+pId5eSd2VKrXC8GSvTnGpEgyF473r4IP5Z32dBXRzS9uKxovG9R3hq4R3R+Rp6oYmYPQt3Q+wv
AxO+K6ZL7En516E3iYD2a3ufXkjhlLCAnoe8/ZiMeDri82NC5ECM3IihMkDJDLgcUQBusC7w9TmD
c21In/lbnLWIgqHMxm5Vv5vcMGdN7hLRR5jiE5GiwbEU5UQTGLvOm/CkBGa8xLkwfQnDRFEvpPlb
ZgUzH4XRflHO8QeHMbHvJUDzNDRIiQq65sEw5uEu62ePPMvStl7AqRmvBZ2vDSjDesfkKUAsF+Q1
/tqx4NDT+dZN6xcdyfNqpfysIlA+CLKNj0DZWwYDoztOcn2yrBXXS3pB9jwh8ufOGkhkYvDC3Eoz
7Y2BGrOlVMSIuZe8gT7xvwUU/H0XnEYS18hz7pYjPjogvDS6vcE8ZC5BAYVXYKscd/h+73260Etw
O8lNwpaIJ6Scdsr3os3ktM2+t6tuz/i+e2nMqn+be6tdB17owjYVwamaqvADHzLb56RLGtCtBLXl
RnjAi967It26PrmdU7x4fqipjaTcA8hrttqGUbQIJuxs+EsSExCzBNtNIg/jlbJkiW8SgGbCjiEo
DwAhKfVJAgrb1P8gKBCMRKgk3O889F6RP7rewiBD7LGmRFrDIQrOHfbS52bsk+0EF3bnCnt8c8u4
YO+A7H1DwgpuIKecbyPD6A+ZnMdbQykmAHLI4M/SsV2HmTfvZzoVd0ERtG/QApKt2w71c83+xhKv
7L03OcWaCDrmG50w9aLpahewiWWuRNhUtx2IFyw/Vd9+mkBe7slkwDOlekddubJy14OeCMsgQMx/
QXYB3luJb0lWBgcnji9MWrIT4JRYJvADO3lk4cBMYSodr8iR0FejN4tDGwqxMaapeNYyo3KdvfwG
ixUxcF1encO2l+e8bS9ua7A6qyouMRc5hVA3mdfV1xTXKQbACGQN2Y8sNQ2b6F1UITYBSSLzfe2S
sgtWrv2CQUkP5Npkxa4QgbPCpeifRGQxLMhL9eCaOEEqG/z8pLLo0UmRSYRtaOP6mHty1ktXLKQa
5kNBeXZomnl4Rpnf3wdUobdaDOwmc2o/FmJMDkFvpe+Rp9mLCEE5y1nWmPFrTEutk1pXpUJChhmT
UI00l3sT406zmBk7VnhyXPnWO0ZcL4LMNt8KF28vzYN5fHIyRDAAiQJF46FzzGYdBZU+GrOywOAy
fF+gOJk3E+PMK/bx+iUew/qx9xq5nmuHg4HfqcWEXeYaV57/gFfeOyCGZdKle0ZNhijOTFApsVIC
qBqEB0n/bHngLiS66OvQGcW2VdbMfGzI3JfZAh4ilQlno/ZzyF6SqhPmVgW204ENCpPgJlUu8QmT
/1YPdEDi1NjONK02AD75JSmRmIJJRY9bxg19VlfazZlaQvsAsl9wlawOWUVr5NBhchOLeKZ0vy7n
zn03HM4X45xSLgWZiyLSM5oCso9VIylOaPbyqSlvDRdWVpjmV4kjebNiLJdydOzkj1b9f1v/9/JC
/xLk/c/whNJqRQJ66cb/Qm3XJrVuf+zr/uvH/mjrBuK3CzET2ooP1875XVP3R1s3sH6zELkJoI/8
O+5QNML/xxzq/AYCFCXaJSTbxzXCP/3Z1hUCqykIVdAByGUQrP2XzKGOS1f5+7aub7o2ycP8Qpe+
MmC/y79/5zGoywzRl2Np9LZ4gHRG5p8B5aiAT7ywgvHZd4No0Y/xJUaJKIu56j5HIZ5SxqgIQM07
ZBPNWjbD1w7ayoI2gV53o6tXhgGoYeya8gsPvTp6fcQ8mg7xis2HmPEmvXWZq68G0ce7UkGoA31+
9mqKSpVMSFoq+VwFNSdrPd1VjvlZQGG3JuI/8kjyhARkO86Z8dWJ7DNwftalCpkgQSRIRNx+3HUT
OhG+w5BXjfrXROU76uxTm6dMaTkS4ENzoxsO1wGQD5KSzGaCLkW0IPAbzz52qQPX3KjdU1yGHtWt
58DOMfPpMQyiezPJ3oa4fc5MWrJs09N8ZXikzKXjGF5cZmQR6kmDXnL0XTGl26zNnFPtWiMuKrrl
M8hyaGgBGWWNlUA78jSzukUqLf3NAnShpshdW63NNJd2ORz1mG4CFc6kZLHErVNeeWkFrmlU4bvd
RMbOdVrvgKykXrVuQ0t+CAjHba36gGbDfe/c6bUdA04HGEA56vbM/IOcv5V2/a7dwLgK3R4H1kBy
WtIN6WrOpXNFZJ3eyKL6TK2OmE+srNctWfUbjh3oTICgLyyz8lmWPWedxaXm0N+0hwYQ0Z2v5q8A
Q0hpy2ipDrnOnu1qenb8GqhyBgZJBeBXC5QV9PM0lbITr+YJeEHW59+S0s92XhW8Bl0ObgJNwmLu
cljGAwsxOmWT9jBxJvyvfGfWbXxMvPw+QSjpoZAj9JeWNIk/yb0iFHCF5T9bYxGNrtImyu+wafpL
q+iz5YxmZj0kMQFjtfPgEWrFbN2g1502T9yvwedolhhlgZsQ2MRMoejoK/a1ug+N8D6eQKURpbpA
x/GYQmtd9SbSSFUSVzoazktOxsuOHeTOkvW4zjoKSsSEalPoqns0I3pM0vXv+im4n2naUq5xz/K8
L/vYQdvUF7QjA2rnLZaqKLxKbdGAnsM/ty/D5EKom9r6xmEUv7akYdDjzvLrANffunKiYY/DogbG
pttrDtXEdEDJ20UZMsI8ju/bJFCcqusrjc0rXvo502tZVukdVBR/ixYTtbdUj1akxi9FUESHAY8D
mxDbSee4D6hjBRR7QrryNEuWXCqMbHKC2JeljFgCbYQvEBaZymaiOSWdig7zNOCvCHvPsReWbMVK
h+1nVZNeEVUlo4dxDs5u4Yy3EeotMFJOth4HjWJBuQcXs9C1yfB1xRyI3lIwYK61gCtMta+vzXQu
NPMmQCZTsEPmA+5v8Kqdb6YonurZug2zblxpA/gCuUNMk8yAPqkKvSW1LfrEjky7JeGtCflZFw18
kRcMIgzThdNi6KdJBe6DjrS3I7SR6Tt6sKVhEmUnezPdJo4X71OvmY6NJ5OHIKmbEyUXqpFYzuIu
ny3jHBQt6W/Aup8AWD6ZcQuYzZ0WkcIvyLHrpu5IMOlrq79LBpJCjERB4bJ76uBkpGPpA7Ti0F+/
JxRtn71NhIOHvuVA5TzsABpB86drDQGaI5Q1c9xz8vpstP6R+DkBe3PRISlaBmWBxYgSdYnc4EhQ
teDJBbG8AjKNw6mPvaOTFykw8rA+hVaXXsdQg5eVqU/aTfptgVzrCTerXoiqaM9dM2loQy1nysQS
60Jx0unTOX3oA97GBQJ9F8bz7QgZeCV80F3VNCT7OtW37EPGHrxms8EuE70z85t3yKzvo5Hu1myX
CJ5E2V0j0JEr358hoZYk3pUiOY1+nN01cCVvJc0MgjQccKiWRznjeQLyhX9JZLQmjg+S6Ep6x3rV
oT8GOO0XW7PN2tNodBRlBXb8kMAxssVtVuFEfloWnJnAza2lEwSQT9yPRPiEO/8Hd2e24zaybdtf
uT/AAhkMRpCvEiWlpFT2zu6FyHTa7PueX3+HvOsc2FkbNjZwcIFz66FQVVmylBQZsWKtOcdMRhvi
HXqwyazoshDldPZPLhuISiwvAYFLZRE8mrJkVzx/BpGRTxZi111DtxFP7sDTnOGiIctt8U5pGhEn
RcKY5HwNYO3dCPsc+ylkoQdRud+hwZw5mKy+1oWLO3bjCvd6sIkDngbyf/wEzOidGKN+Cx7UWDlG
cgcvpzppUyWPFdgHEJnOuPGW6JHRwc4xRsLh2BMKzB/eC66dZUu62kc5cUOplljJGj1bMs2jX2Tm
1TIsnJhrJl6VSr60SNH2vWEQ4HX+pt10DugthYI2G0tP5xUfhVjee12+DppuBqoIG2gjIvCNZiR6
PpfFhykIb+Ko5jxlhkxvbHEbWwpPZjC4axBrwnf7Vq6aheaNTLR90Q5pg2o6ZCTXhqhzuw4l9VS+
mQarkIJdh9cYNqXzPhcEiEjnA8GUg2nsnNlqOx8/Crj/Z5Xsz4Xs/yZniaVxkv2u1r18S9vo7WP8
9q36Rcfwr9f9q9jVEqgJ+hFP4604qw+QzPytYRB/wfA21blw/VEI85P/0jBYf6FuQqgA7oSbWp2B
y38Xu+5f58pZ8BNo5RTKpvefaBg+2TsUxDpPg5A2LYWOAcfUJxekU5Jc3ZAPRA+egM4cdC0jg8sw
b16ZH40rqU0/VWcmKSFVgRsi/9TmYxQo87JsB0RUyUuPlVxhc95N0dBfoK29IV1Do6G0Yr9kq/Fr
8HvMvbLnzoUGaNLyGckD8QheZSopGNoCaUC4Cr8tuf7p2/h37pVfCvkfv5xr25woUBJxmJCffjly
CqNumRm8gLTyLcrMNPheUCmY6k8g/c9OSqRQqFCIGQVsjCrrs2ApBEmghxzAIDmSxFUVjNAMkpfJ
+KxC//e/lP3ZDqSk0tKizlX0FOUP6cvPx5NZxWNujOR7Fmr4qoOa4U5ePBFASpgaiz3sZ0gFakh9
s8bzqIe+xXJG8okO64hskxEHR48DJdYv/F8PzEFPtLygfTnNc2iMRxq8b5yjpVNxxlflezOhXEGp
SxZ4UaN1DWlnOfFIgJB5yNkC9nZ7rhmHdNqQwTT6yFjf1LC81HX8atcabWZqOuvfXwPr/M39LBDj
l8fXAcKHEyFils+WqMAhs3K2yZsqIWZHCS3vfKJ8jzoSh4KdVz5XuXozKGZEBE4WGT7a4vwjM6Jv
v/8g/1CqKakty2ZGwSAOtdFnWyRVFMaA0GHB76BjWDWbxmDoZ8wfqPGt7CuV/lEmyFey7Ij15aF0
ZiQlid4hCMhWuSdu7Z4m1BQDHql3MtRvSxK+5rOFvudPEATxq9cbIxnKXRYhKZSpz5ilT7I6pAeu
QQEYbUyTNCWnKw8MjR7kYN7Xhjox4XkgfHOfeOpimRTdY/PRiOhe9hSq0RT5zZL4A0h13Vk2c8CI
7rN6GKtG/knk+Pnb5XOibhSowHmUHFa6Xw/gTojSFIC14SMtvK9cZgpjzlmTxu71SEOJQBkYsQkk
D0kPFlrQ8jrUyz068Q0wjj98mPM1+flO+/RZfqDxf2oGmKqyAHNkgR9Qm08wclLPWiEtOBNsdu0f
3+7HmvT5/VBYglLgmwIG/an5gBQhdZeMwt/uUBP3IZF6boeCKx+5K+Q9aVcCJwizCQbm0brOdXyj
onkvzehVzwzMkiRoN+FIqwIe3XPQO/hjvG2etA9EAKZHEREo2QceSCAnvoUYRWGYeCvDXi5pBMqL
hCQ9pAwFSoUBRowo8cngoMWemMBmc0i2lfVlVpPKzsQFGBMTuIvONXGoOPWy4nAM3K1hDNfZy83v
H7Vfl9gfNy/bgamwKtEakux7v3RlZgQRSJT4IpZFkhYQbhGzTDBN0/wPVud/85hQJtLSRebKG2EM
/fWdnIWOQQEkdmMnmqC99FvhWBhGCOpbL57d+7Ran5JpvJc1oYf0YuxZvATkcxOnGLw2YO4LpyVt
alkV5jlCSTx0XUNYfLb7/QWR/7w1f/2c1A8/bwRm4GGCrOp0Qxzo5WyN2zbVydpM8ueADRr9NKnc
4IcxrRkM6bOpODVTNa/dqn4OF4K/gE8bV0q2xmYCanNh09o9NW2T+wm9XKRRLhbFWsnDokij7ke0
e1XdXQ0lQ2VZMRjjsDaR/10Reu3xxsocCB1e5gxijjy3zIhWQs6db0rR9btClk/Aw96Cc2D9hP/o
dXb6RyRLCtVZNHzPCVQFbRuSTNfX4bFQMNEJaHj8/TX7501EtePQ3PPYppFQn1fIn57mlGq9V3bh
+aETXHVwNB2C7WObfKBKbH//Vj9iY359kn/UHNomOQOenXVWj/70XhO6yr61S+R2YrEPBBU8LXFl
Hytcp4+4UuQqqzmfF/OpDb+Hmty/0m4huXlssGNHg4WsLYC4idPcWN78hw/3WbmqFQpyrM4e7VSe
ps9lHy0/K3dg1PtAOQ8zgEbHOC71lz9cgc+VCu9CwiWLGKkW2sKe+esVaETKoFpl4Qak/Mqd9HQx
o9T0A6fbLXFU+nPb341hVb1ltfMlGedbB51WYpLhpCWZqvWCuqZu4oKD1HTDUCK6zDA7Ex2q5R8K
in/3SZUr2RS5LQSRDr9+0i7BKjg5uNRcVbKqxPl2SGAhR2e+j2lmsHj1ltS+o4v+4fcXiUr+1/0F
rRCCTqW0w67sfF5sBoalSxmWpMNW+jEYNUtMs849kjkLQUOMMGsSFH7/lta/e09loayWHjssdpNf
f1sPbJvUqYOLrQ52uTCQDsbVdKhwJfsMLS/LvP8apcOXOpJv4NPekH1E68B478BZriOjLK/QmXzn
nLq3Sr2Ok4fffz75jzrFpe+Og/K8CBP/9OPz//zkGDBMTdEZTJB7H9zSLnCCbZDwuCxjREpMumRH
yU0E3/h74kSHflGvLVnW207RbQPduEqUpD0wfIf0uc0ncuIH5ENGGt+M+JSrCHWyg5mXIK6viv12
o/twO4SGty/5MWOx8ZCkdg2yu/XnqUeu6LTf5tx86Gf5YsH7audiOzT4dMNgBEZHMuvvr4D+NIKQ
kAgUxxZspA7Pjve5vi1igPKuFWm/HfSDyJ3bxS0RfAzwxnBkASfrmk3rRKdqQqqF3HKdlSiUcMK0
my5s77pmvJMNhl4TGydOB0n6AlKUTpPTlZvPulYoijxs+ZbdXIZthwYRK6WP+BEBqrJWOk8vyYwG
8h8Eb66DGlmF7v1gey+WiE9WaPtpJvZNwm6QML8YTdUgJls+omSoEJvXVw3BOAMf1DLz6wxr4ZQk
2L9SB7kyg8yu8w3bDs/tnl3XqVOJu7vmDLKZPGaATEDhpxe22EygoksDZas5Ykntcih1Fmk+kQTO
PTGB5kcH4VRfxya8LrNnvXgw/L794av4/HxiZlAc0jVHOxM85qeVoQexWWjksD4cs3q5cPQFfAIc
4lb5d6X5P91m+d+E5uCQ+tsGCnb0t+b/3DRvH9/a6OcWyjnYklf+bQORf9GaEMz1FAcDHga+g79b
KPovohIEAQMSt5BwLfHfLRTb/ItNl6YGYk/B1nM+Rv/XvJBILcmJ/dz84CBtqv8oHetzFcbTyTGc
SkyZNGQ4C/66mHYFQaBN7wy7Kum8e7J75mvGB/Q0ENs274a3kBFnenX1hx3LUj+8Xj8XGBarN70g
OL384uoHf+TnAqNvIUxOzjDslCTkPW5sp3qDoYymKB4syeGhIn5iHTdj/5yBN+DxItY2Xbs6s3vS
PHhqd2ZWEdfcQuJ5CeqAGJwZ5uZKWnPYrd2G4FuzrZiKpDnO34tRWEVDDrRlkJk5dkzMK8aX74S0
rOxubgpkLbZ+yWU+vc2l8B5zSlHOmmIYbmea4hXzBdTXMbaWGBlVQNr4YEFPLaSOt5RPg+/m+VHG
5HeyDs0Q5Ak2Kd6BUqyjzh78pbRKvw3Kr0PWWJdtMya3yHX1EwiCege7J7lsck4u6wiBIRlGoQq+
GEMWJwQ1GeUeiQMR4cH8DVFRujOx3wRgDfadmBJCKKIbN+r1dpgAaiNySteGVTzGMb6XseIEbI1Y
JV2DKYQnCOCqUQwkhJBkeUmwsWfL66IaAU1TuNAKDOHG9rywqZ1tUXHcMs6GcII1E6Ss4o1zP4gD
TwI3QCIVMS3F3LArgmw7Nqj26nO8JevNTikyCFpnyfifSkRrQTtej01fX+Iv7fZL0DSrIGt7MmTg
1pWN7NeIfzG0hWR1d2OsN0TQ2H47IeXunBDYrtlaW0l3mLMikxBjEDUT1b4nw6E9k2UjsV6gm5DV
Rks5xZOxDeC+YstP1c4jFIbjP0E8y9gAdReS1a/lLLovCkN+MK8JL3qJTk4byrhCgUFMBuKmu3nJ
2tQvJLFtISkaJBGf45U5o5o2/Qc3ykMfcbIEpeiqMwHSlu3brFXKSWOx+d7JVScot5fuSc+x9U6j
PP9Az4YNBym2YxPvMvbIetJLc8K0ArvNjK8S4dX7DutwaEqDDlVVHaIlL59y2g1c66TBiWEuXbRs
GmeMlzURxyhGTbNUCpGIKm/ybMgIeQoc9hxZpoUv8C0QgZAuZ9cv4Nmsza0d04YsB1USufe5YzRE
jYOv9WtVLGLjGBam7oXa5mQ2doS8qJ6HW2GQlivDaA4PDPaRLmEX0S9t5yKCDQR+21rbgD1rbQR3
8+ia+7P9iYEF9mSstKXYpxZUk1VkuuEF9nn5UDYNolQXHxaJyG5PwUq8CWMaS1XZtZ2Xw6MX1liN
MR6N96maBNkMhmzGjetgvTjMY2d9K2sy65SdW4+pHdX9rsstCaJyDLwthfLcrOy2JrVwtcyOceei
+N4qrwYf0BLIthKOaEiDr80UY06WRA+9iBl7x7VxbCoTvAl/2WsnjPVdj4Iami7hddtsMdANzR8q
TN/bPLrEbbGrTENu+1mA1R5EdjFEnn2tJNl/teyZmqbg+lE9X3pdnK6YIyJTQ1bp54vRXSRVfUXF
0N6Q4v4ByYH6sGxyZiFwOM1EV6dCawSVIb+RnnNsQOeWCeTRbjdBkTki8xebbpzKd465w3bODXVl
zgnJdrjrx8ugTafvec7MGHGuiI+wfuHnJIkLx3YpYBVRdDnWu8Z8cshEnx097C4TFBsm2i3R4b5l
Fa36VpfzOfpDlzN5IYWR81wazx3hS0XXMrmHXPqFgTTZzcXQ33q2hWg9ivF+ofIeDlRW3yq7Zv1o
SylxNleB78ExOA22RE2douT3JiPcjHmIypex/A2FUVCvHZupMYjD4I6IuxRrjbE03QqdFcLHELhB
Z+T9VTuCjdqgEinpk3bztdsMxL12pbBW0H40dxYOcVaL8N0FP+TTA3IvbBc0msUkYJ2hWCYxQogv
blZGR4fvkaoZKAv4FHMfjunVEFCt4Tm56DORrwlFP3RZRC6GUNTtyvnO7hRfFehadllTI4hR3Cnt
PrHTaQ05DVBzsyyEqcYtnFXfmOvmA/R3UoLFAH2rVUH4gwhQFmyixkgm9C1DeKKfcBfPYfrUxTjI
M22738zI6nfoDukSM/SJdw4u9+GiYr4nN8MwuOTxpvmj5ntaD5MFsjwLig8Or/KmnergfSa3QN63
dc4y2y1F1PllBwAI3xeZDH5FdcDcD/PJBlrRAoFqsddJb75XcFxQjLTLLhPWcNSx509N8WxMfZWf
M7YEZOY2tQnYGJgeYf85E2nBV7ucyOq4exjBNJxdLYm80q0ep82sGgFjeKxvZre4DWzcjqRBND4Y
SeMm64g0nBgN8IfiBnTl1myb2LcKafmiDudNGO7Jr0k2oyubY1KzMznNAOI6JppbRycUFh+1niCh
C4mdE2IwZL15Hy8IZSDeiQsDVhXTjcDwhchQBWUTRJLG2bkDE48gFPTmInKcymgiIs0JH0Mb7gxB
x9wAAQNYdDIdrQ3ZDuvcWKK7nG7UOatna4zBBsapte3mXlxGU1z4HPQp+8EGfkyhQO7bD90pa10C
pA10NuU0kevR1gLlAIlnlUadzTc0bqgF7XULHZvTx/IlyDBIivxHwCUXNquL4EQ0S7kL2urL6EAY
J9y7ueg8st0oNTTHxqbblZy8dqxALuTrKty4aaM2JnGUvlNIdYFsRa6ixLvBucTjmwt5PfG9o+Ju
u7VohknuyOqMN+mkw13DsHhl2w3AjRa14ZFyoX2J3fOXGqEZ3vZ4tG5UXHl0SLrW3TBCH188bWZ3
ulsADyMg+N5ODuJ8tpy9NXjjU0KUDkesqcQH4Zhls5ZTj3JEm8F3M1r6C+XMLlbBDOUT22ywMxi8
46SJrQhpl8fOmYaDeUDJPO0mkdhvHjbEy8EU0zUq+HRcEWfpxVxvzAmhlwP7GOiEHELRE1/kWc7R
dAfrgZSa4FvWAlTC/oKiABtcnLIwWcE+6UznEHKpTSThibcJbSPGzDYRHgBAZcBKiqB5l5vCerRJ
Nl5JRyKWwTnlrSORhR8YAc2B+ZWnS76EIr+BTmI8QJdOLtAmzcdkSpZdYc7DMx0AouFqUglXdBEx
B8NP34q2x7LQmWbqbZwI3nuazPO3PlFMACssfXeN9oY7j3RN9LOxQvOSBz3cK6G3JCe3j+5cmldB
VBSHCMLCbhYDAScLdtqQOYMKn2NZSz/PzYxIPWN6GMZcXgxFPNwaHuSITijycNvSPWWWax27wtXP
Rka6RB3W5bMtgz08UsjwXXjVuImCPRcay6Y2nEFxn0lSpjCD0WVeOPMqscSX0rSZu+mmQRyP557Q
uXiCqsnJYtXjUsjwjStuptQJ8ivawdGOsPF6JUgrwOUwY0rvjGUP7SlFHVZYX2w1DOmqbDr4Q8Go
ws1iiMS6YYtgf+tDPcwsYOB48hbUXoZbGoNw4W3pmMJQU0Sn9eSsrHXm0RaqLDDiFuEy5PruxEDI
U03i4wdFC7mSimHSmqA+EWK2nYtd7ozNvqqH9oWHdrkzEGeRyDUV6AB5E9cwxSbBtLVhgBCuFWC7
m3JqxNXYmsP0Vtpiqm8hkdXZvaHGUPsdouqAkwgHvDWev2QkTqmZgrUUg8ku23eIJ5U7kKpQoeTK
5Rg+TJUVf19w6OwQC4XlZhlluOuRnd9Ws7Be+tKTD/00AhueG0FazxISTZTEwDXC3Ig+plElBwPZ
6Bu97S5c6TqO+ToqNd2ZFKjfGht5UjiWCMPzeKrv5obmrVoYJFCwtRarmtPVIaF1KUt209o9tJTc
fEtpZZIQQf/kwYXi0l0FZS3tzZKAPdlYLUSsME8aWkxzQoa3EwIXQYOmmxVe2BkRkcVN6PdoNhPq
9rbZdPlM+yZLeXrlnLhojdgPj6XFTA+dTV1dhY2OcL8bWPRqo9Kk3VUaiVs5VOG+LnubtPAx2hWW
VyGjEf2b4EhEXnNV3zWOvI0NQjGAGPhV67rHbqYRFHIfrjJPmW+JjsbXEBnqXsVOjApwMJ6tqnTc
jfLom5H4Ox2Gbpy3g0fcFz1xdRsCakBjGk7BhUyyTT1X6Z6KOrqEjTNe1G0P1JJL+DbocAAsaagb
GVXNFhPfzupKfR3rZD50Slh+P/TJXSENefI6u//hpCO7lEhieAJujSdCZ3NwLJulYcXRwSmM3Nc+
jD4MMK+3fUWsPK2pJme1Fi16WzV43wk71KhW83jLQDX0h1FEj43r9U9jwpOTGUX3lGRh6AeTsk8F
ydGHmCThW5xs30NJYAQUXu+uppy9AcpTU13F1TcJPIwddBQIfFP1sOA/OSx0mDdkUY6PKWpbALNp
dNUGTnJTwq/dzE3dFpvcqrrLKaAj1xgk1akwj24Z7CvfrmIImPAOq5ueM+l7PQt5G+Eh386LB2vQ
LZvrAe/HHgvUU29OMQkXriB7OWZ2v5lKz11jYRLbtO8W8G0ZnvqpN9dpZlMDES/9PESlwBVMFyNT
qfccI+F//aEicxAd71VbD3cwi8gapRa7Krpw2SxAnU89UMX7jioP62tG0uliVMbBJprjFLTc8kPL
eq+rsn+N46ZggNXFbzOicAe4Dkdqq8Bkg1WH2BNa4PJbzK7iE/BKnpbHnuKOJK7heMWlhZd5qaLk
VJCB8pi5TntwYBM9GiX3VRupnJPgUPhudQ4riWzrRkNYPQSaxGVj6LOHaa7EKTLy4rscJ9hEsVmI
B5d68srM2fNWMzzsDzdMOWH1Td4czRCh7moJwB8Y3GhYLLKB9nnXpf1TT+5K6JeGrJ66qao9zl2T
dZ86c/WgG9G+JUZEb0WnPRbMyauLZ0CBwdvYmWcocsj6cqSHTYQxq9/j0sBev0yKbEHchxi0IYjF
Dd7CbuR85fSx/T6oQj2WIl/OeuPybRphl4vA1E+loknj5F15GVKpxRj854QPlMD8KtxsG6M7vfMM
Vm9LNc4FV7K9bqx2QN08dG993g9Ha8CX1Ao32LRlnF1AmCYcmiykS9xTFtrxuHpuNFRyzMTGnUNX
F5qXGawsjXKYvLp1UZbFRwkEZLryCMFwLlCkjnBFvHle9WNoPcKGLCOQ+lP8fUAdtfUaBshkgE9q
FSyEraxK7OVPKWdIPwxASLY6NhjEdGNITSADDtQiamWOZWRoLmdziF6EF1sPOim4gWKiQmj/tOXd
XLrtRCMoLB5lXn9vU2LpNrWei7elCebvJTXoPnIMliEcMn6U16XvDAawjCl+T0MaW1aZrno9vzEa
mn2yZTAsdR1R0lFinouxR+y65YGQvHszGMUu7GPjGCYd1qCQXM/eyxzfUATP9VVAle7edXErryFY
5pdmSO4DALmcLsAUpGCriuI44pzfE3TN7WDQ9DssedMT/hfZ520q36YlqEMPwDRbVcuTZizHqZ/d
UxzOERNbr9lZXmC+R9w+7xVwqAXWRZnz+qw+qsh0TgMnqK3K7O4umfUNqSDWjr0Zf19gIDtE0wFs
wnCIOTI8RBU0pa4dYV6fe0IvJinDADyrkfyD1CiSayo7qBcm69UpAulHt4tpRLgikgdUX8LBEwjK
Ium/LZ1v45R4JA02UytvbNQtpUEm12mUBtciiXEKjRoNgYzUOsEO5mMVZ0oRzDyXWeCtugw63LbD
9wwmuC+bo2zOAlvZi+CpDgexbZuqfUmQB5ySsgfZoCLyYFo5OLd23Nenmndbl+R830T0909mZaCT
gqSjjz3SuAu7JMVUxHN7rDqzOsYydu+UBYijGBWdPFHwnOIl7a5prrXdxrFbShqX+cimHox5XC2y
SjahnL96OLX8ToQoY0Jhfhj4SvcDBuF7xcq0UrqH9lZXC37GxU23YcLEqXHMBZk63bdIaOZTVpK7
pyntqtvFmIjO62uI5ZFB3IxiVI85NdOHyqmSL6TusQpOZVvTb2T0UtG8Ip8Bsz76GFM8IgiRmFfN
gZoLUo/dspl1JQHqxLJz3LNITRXGF7cbAJbNAHWsOQf7ahLHhF8jm251IMB3zK6x7zJVHYzShGBr
FPWrCW7eN4hK89ucFIzFay84rmOky+vrAezitkmxvlh4QecV/+rsO+nml9mkx62dsZ36RZSgQJhd
sP/SjnjGSxCBa4WafNendWOx8ZD5bGVe+6jUYj2SIhJCnZiTaEXnCoLfoBLCaLICK5oc4+ohbSnG
t8QmTNAS8PsWW4Mo1fI4EKJJS7YqIXPkND/6VZSGxhOZNS2OiIjR2EARDduRkdUdKIYmxiSs4vtI
Lyb5kp5Bsxc0gTP6SR33zDrzZbf0o3pNxaLu3Mkrra2GWFdvkgQuzdYh2ZhOSB15RIpmShAWDjLq
rkVikkK5icmiTl2veuqlnbwPhjkva88dTbmf2iZQh4VW/0Msl+K5tgO8JUlRX0/AFkPwCXV7O0BD
pd2GofKmGmnE2YPEMJ12L44Vw8h223SFMNF7NUo72sLsBWxna/vQuiJ/TNozRbQA5bPtVSTAOlkZ
jZRuz1VYcAJXE+m3LaFpDk7j+64bJp/s8OWB9qVzcGuhb2wkh42fjKRkh/1itASx2e4HXQOFuKgQ
WIDNhtGBMeH08A09Nhf0kOtlTcTY9By7ig2CFup86nKpN310G1e67/2wUN5Dih3+MmzgcKaITHyR
6ekUCHaCC2A8FdALsH7v4PpIy8FiguZkKgEcrug6O7fYqG20SuOcYVjSs1GvO5tOLcIoF0+UDXJ6
yzYibjLpdbdodJYnGufjrYHRH4yuBXgDbPauayv7iw196BoqotzErjGa25LsbcLUneSaEMaZc/no
qteuSiNQAio7dsQL3DSGSGtakFYkj7U7MXWxLJJCVpELAGiOqbLWnTaG5xlrIu1/iutt5EzJzozi
6RoyloRfIFMPBhQX4rZMmsWADCvCj4C5L2N/aVn3YXDmpMa5md8nMdZdYpQ5QHtqcdhOW2cNJJmD
1JTbzlVTWi2OgNJk7m0X17PhFAlRnHH9skxufKWWpOYsX7vqZLYYOlZx0SYFHpHa+qIiTxzxioO8
zvF1k3HQ0/8ETgNNNJmN4Guc5stb5fHwbAAUcPYczHoM/GHBKqBmm2Pc0gzZE3cbmWpFFrMT0PWc
rlvTDr6OBrlpkeAhgquTPWlti71tdcuJGHMsWlFA8HGdt0fWdjag1jM/Wtk3ke+V7Hzogo0vyoir
W/j3+jDBF7iUYzfs0dj339teYl3mtq2J38COhU95mr6pJMj9Jut9zhBZsu4UWUyEJ+sDySQ5Rocy
u5cQeQ+GKECgpHP/USS1Xa0XReZslZnFRSL1RI0W5vWbhVMv2mB5Ke84ItH9Bqr2JcWJcAtSNQMw
qvX9Ihr+1rAOteGAtqo7I4Mg5zDuiHVrHDpCVzc91/AesHD3lR0od1eJHr0HY7HsYF3kjYg3ZRvd
AFpq74B9OkwPWFswA/QSSrvZdTe5rbNjZfEiK0C6AKxa36ipoJtgznn/ihcKLaJpDeLk9m27xaGH
8SYsxuwO5maarCMvERXu/xInSsqIDTQDYxMzVrcMt4o9WTTRXcswfS3SCd/VUHPUkGWzaRq0O0s0
Btf5MKsDLwuvebqNd9StmPoscA3BkG6suJzeODK7V71elpt5yj9qy/HztMdIHeGKw9k7nxQgm/t4
tMddU2pQcJF3P8et2KQKa8hK0brcd60JptceCXBMUAM+QK+lrlCah2euOl9mPNcAmdpxO3B8ZULT
0+EwwJbsO8r2Vx2V6iYwTRIypT01d5KCnpNA5kC2c3t2OdIQq0M8ODYZtV7YvoTp1FwyXf1aNqnA
JNW1znUUCn0aVSlvJ9oZr4V2ifNLrQA7Rtgzvol67qbRDC9YVSGdYfoCxU1PAX+g+F4VATKNFvEX
CWdla8Rr2u5QFVJnnHP0ZiI89oYunuyQLSvKPUqWiA5naokRlTLTFgB3VvXIPLXb51zfTVR35cUU
Na5vatPeuOCPy51pO5LdNJwYWnVd/qrsANhfsPSbTM3ud8DN7RHjNFgvtvsXEz5rA8kgc411ijHv
nHhFIasT5lb20nOCEVY0Hgmhp5WT13BZmebQ7q2ct8qRhQTR1Bl7wpC4I+mRxDDHibnrJkS8QGDr
iiSINrp3CmY+JBeMD7Ge5Ec5ztN7TNn6UE993xBGN53X/+BM5vQSt1wt9jS91inzyxWrQvhIi5TS
ZMk5462GhMV46F3NHCbtbDaatItOo2Ga7xnCtnwzVmSsMXxh45oLT+2DUptHfinyzdiDp3VU2RD8
HGg9YMrB2TetU0mSLEWBOijI5qfaTQVzm8jbClGx5xd1BFVVmWWwLgNh4FrV8XLqY0IFKVFFesD1
0R7CqYXj66Sz/uqZSUwvz2TiB1+nZLdCRUUQJ2o956rK4wg9fmfDNkgidrEVPqRkWCnV2/WlN028
DaHFIZzZEuNqrqT1JRsa5iiiSPGk6alcdYFh7Gmy5xCwmvb8H0YeOig0sfjCzNbOViMDUb3OC8f5
AKpRXFVMUIkLE9QuGdvlKgAn2O47M7dSn2iC6Zl+M3HOaYLH7Hy6yl0CMvrQm7o17kmB/dNM/SnO
TEKoBvGRSuhERLp5WyNIm2iNJ3oItg4qgrVHc/i45AhwcAVMV0CPhzX5ITTJ86gEyQe923WVxZM1
kP+djLfSoDMKMZ/TdfvcU4Qf5qCALW0UxqZLrdYf53r4ZlVOghOzia/IN2f9WmYoINosLo2hEkBF
+KclcTC0Wn1rPpvIS69aMi5OcCHFpuxMzKzAMQAG2073HPXVctsMQ3FZkljLGJ1oJimCfJ9Z2vya
VYPehJXbXGJChWSA/7pZV/EY+302Ll/b0I4uQCfrfbOU4wX1Om3isg+dfykx/6dVP//fxfYg4kYh
L/Hq/wYm8EMf9JZGb8XHz+qgn17736DYH/YL/kQkQmcrzk8KIYcMPQGGCR3hWYH6t8XKtv7CRyPE
GUBgYTT6yWIl3L/4AS5+bO0mRhNe9R9gYtU/xHyWbfP2jEPx7aBqND/JLTHEVI1jKzoEiZNnOw7C
I0xA3PlEomjnrQWbdWuRMbeqqxTiNx3iaW2msxJb9BAdYx5NFEprx5jBWadQZtSsbl/6pfALGnNr
xtuOH6k62+uuGt7BJFLbJzG0s6QL2X5o4dNWZAzEPjnn7lkAFAMpyCx7W3T1ci1sCEVZLRmlFz2f
AjwhJxnVTxszHS+Momq+hc0wsxCkPRmgOUPMzLPcKxPHy2X4f8k7k+a2sXRN/5Va9e5kYDoYoleX
IDiJkqjBsuwNQrQtzNPBjF/fD+Tb1WlX3cy4m46O6FVVZtoiRQIH3/C+z+saejDTx1P4I5QsINsE
VlckQdul7g1BtNht4wXVkA7nI05N73vKog9pbTNrO70NrX0199qTsyTJfVYj5OGbcbYFzClnYwG7
OQkSwrYaXfLOAApO+kJO+8kTU73lpOqRoBDl6b5wG/RO0TBnox9bGBcwe7kPVH/R1m7q6jK4Vn3V
iry5szIs9shFO0+7XSoUKZmVH9Csn4fBuYFH9hAL6HvS6i9Omd0KvrktT61uB95qvxBceyTrdMK0
LOw89yNRQNhyp7HbMs2wnzvEnHh28yHUtrqVPBAVeaMyYnRrhvsYSFgBbNwKzl0MZp48a+Ze9DKA
Y99gW8+3s1LhVy+d5DFd3PoCwaWv/MUQNkHNhDKrdG4PyB419tsMdXytMwFduVSXGyjJ2dEuJsSJ
LfzOPOqHT4MpGQrUpPcWxCnQ6psQ2zSHpr4yGvGtNbsQtoUkkZgrrd305eh8Hulcb2CMjwADYiYZ
NBpzEFpF8j2xR5acXJUHdmfA2SsZl3sN0enXAXnzvVO55Nhghr+quvqCpMX54nmLs8eZlj0WmTVc
GNowr0xGUGAM0s5l0jjnNO+jbaOzhePxdg6rKWITCZRMNaY4eNqY7dlLGQ8OLX3C/JxFLn0iV7Sk
69/oYU8sDmd/PhGnve48Jl93Cv08L6qaN1JPnZeOGAbkbd4YH5EjzU9TEk3HYmz1i0EMM0RcWQ9v
lBPjKcxsyzeXNt0T4Nt9HUkkOIcl8w22seZzq7kMIN2xGu9NkaqvuR02ys/ShQnMMAnZ3HloYCbi
eQuhtrhKWua8mQgyc2QeEtI5HxCuT/tyYYWEPcQeL4NtFy8WGZSogwRfRcPCOA5aKk/sFMCpbhba
D9+EfXByUsy+IiH1guMC3wAhysicYsmEebEI3mE4dh7gmFwmnTCmDWLI+clDLXeyso6Icgs1NXAp
I7rXuhk7nKGnBuplQKPJ5FAWkkAqbnBwNzzg9LHSeVEmfOxnytuQuf8FpR0Ak3AqIW0yOsBfNh0c
Z3SafSfGmjac3gARV30mwYVc4rqbwg3zBHPnyrlV1O55cjZS0ICoX+yzHrfTDfzWmBLW6M4Qicbb
GM7AVyKvkWV3YTWYvjF/qkOLukjWZvisq8Ig0Xlhbz82np9RXVBr1tM2sZjtJ9BD906ic2/NY5GR
25uPD26vTw+zlCOUNdadfo0sZ8uRGkDMOIhGU/A0hvjM3hREVyaHE616c9Ftr7gk0pEv+OHGF1Az
1Y/RrCPiNabKOISLK54cJAr3A53SCxIbIX29HtMbECFkm3dOCrfP45JeQ47KDP1OpY/1i6xIXxLo
CF8SxBpcFCxbNsxDl8DUZ3uXWp6+N9IsRq4RjwQ7Ry0bN0WxKBg2PlkO8884doHAEqo7H1GkmRh0
k2U/FzbaC69zA53pwTbSyU/Gp+u9lkI5u6Y1+sfGU+GFfwyPjD6c12TUiz1U4XjXMdm8M+y2v8Og
UV5npxt2lm4UX1n0AxpBiXmBkJfsjQkH77RkBle73QXFoEwbbALpXiobGPU1mF59dgDxKZvz/lQP
VrMde1cdrUUvLnUz0eVlyTdDTa6PWOcEEnHlgXU7OJNfa3NpJn/unceoYV1cTPPRjZ3omZCg4UfZ
auPWVua07xS0bra6BuRfe14A1WDsxZmhrHHcidlco7pgep5rR3T+stLUGZzjgXUVdyRThoNM2RwV
FOuW+apmdWKBIm71ajgUkUvOBHjcSSh14KgOGIWWfpEWzQG8H/tUQq98HZ43LFnVsUwkrcDMT5lJ
m8qkpwPSnhJEhM20n3ZZl+bHGF4KvwvkwgDn7LiJlfqqrZPmoWcF57ujOZFYp8nxSa3kMgJ9lsBo
RqSikOUeCcjGY9dHlXdAYDgHBUU0rI7Jg/b96CB32+RohC5ay/Os7s3sEHpGfYXGUZxYOUFX5Jp/
ZlzEYGOqrduY4dYWlF291dtyvqHT32PMWw426ph9ybKbtITwO9JAfizpTRODeJyDAZ8K3MCKQR/j
fFLrwiO2mcqfLMFEU2b9yUor7cmah5ZJMqqr+9gpMXsZruzpjWKQtXY56cBdErRyhibep1DZJ5jD
6oX7ozk7bt0fTEb6PGb66nvRFcPBNWrn1MFyfFOxZKIYl5cw09dh6rwE0VCET3wBBZ+psbK7M+W+
scZkitw28R0L5BT9z8w2up10xIRLdcnNUju3SHhBuGpDMMRRrfmaGIZ6NxppezDsDsoje2vvvcCM
gL1FQPKhJWs2ylSrzMkdk0B3S9va27CFj6VVikcnyqIkQN80HMppXZTSEts5LKCyeqS+SMrbHPBe
vBUFbJkNx4AfH1n/Ly4CrCYd72n81Anoef4Qop/+UXDizIQDkU2VTw1UYNNOPplFkQYpbmNErnCn
oVjmu8mAcMY/g4YowjjZmSk9nqgSLTA9jVREELIH8M8GcV5j/Ugs2r0gQKCEL8cLtkdVTdW2B52x
cbUp23SUFv7KAPJVO07fx2Sa3sfa+N4mUn118uHNrgf2D9KKqns2eDZD/h7XuJMk7PbM8eyYCvVq
rQ0EpBhqW4UsZJw2LuD58Xhqtd48mY37bCxjwUxhzAKjFy5RjmW7jVtWiGCLo63MZbmLUQXfwCwd
7zvIcfuwGsUTQjysPVK3kXOU9q2dzuF312zMHfdoBON4Mfka+uI5ATV4mxCNcNGKeNqTGdLtRFro
vk1A41NEfM4ZBj06zdTAuCytLsddN3jRaRbOCgftoqOanOaqpwN0YFGHlyJRJIuNeJoURxRp76m8
6ysSoEQeAjPB9boF/N8n/uiSkcUkdAKiB7M6IP5NVL6RjE7APDPepR2xDVRXowD9Xlk3DqpKxNYT
qcSTrT8RkBYH9N/AlYQRHiSJOvtsHvWXjpH5pjZa85DZw3hM8rC6OGM+65veZsqIF00krzJR3aEZ
s/pRM81uOxlJdG8lqNdcUixfeNChtrYVyT8kKhmBNbrZKdELwufDDixwVJfvzMfdW7uV+achKwvo
IsRQNJDfDktmySPgE2u3EuWP5VDrWysLPR41qKs2VAPmlhX5dG617kFq7Y46lVwnZ0kDwEmfRVjh
IbLiu2EWX8oBaSgIRvnJLFn92a5S26Siaaltp/VrQ8NwJhm5qJD552ayEmakGHyhoxcgF7kwoP0X
XT4+aoD4nzVgwVtcCSG/weRgAWzD0586y8tP38Sfo06Nf/HT/t6n0UT+2U8hQOxgKk/iA7ilHEu0
zBAJeEydPZIuDJlWa+Cd+NR4xvQMCcB7nd2hvjfiJbpxZ6P5EiZjGlisH2AwSSPaxz2r/8n0lp0m
BYM4J2OYpTxxKRn0IPR2EwaOFt8AQDOLUkKERvJqQR8TFDXl4IdGV+6ZUliBxUzIJYbrG/p0INJi
qu4FQXoH8DwvfdNC+OlqGYSNp78afe/cdLpk7NTgIiS9gZs2kwjY8wwakTQVU9nGXY4qdpyvVOrR
XqLeYvk4vlWDvPRd/2RRoWzmjC0Kbpx5K5cYaEFfnsMkW84Yoh0qcBfolKYrj8R2dm32Lp8UK6oV
y/7d6EjMY18XdTzcC4rCAI1E9ZkErNzY1onL7k7F9nCGqzwf44ZqFy6TYT9UIEXuWyQPYjdxHNzO
cWb8kL2WfK9RGm5rSzgBvDLjsWJqj2cdvcYS2qYWVPNg31hdLw4S5ve2TZeKzajbJwvQPG36MbRM
vuKl2ZW9RM2jCvZ1U5Nj+aN3slcjgamW5DYcpTtsm0J1zqaXy8KmfYBSrS/J/ZKVPKHjEu0I/euF
TAps8iYY1kdudO84edN4NCqLvYRGha2zT34HRkEpWIzj9BwXLO2IoXDh9btN2WNfIKHgDE89vR8+
Su78o/w21kqcpzBFeVoTNsAHaWA7TROwKWMc35trJc9EkbPJXet7rM5U+iDoJs4H6v9RuN3ZW3sC
UOHehtzJ5K7PUfNuCAdz79t0RJOPeuC5WBsM9dFr2FRmHEZrC2J+dCP92pgUa4uCvJ5uJVwbl1HB
sC/sEVh5PHtNYPaNCKKYXaD30fK4H+2P7ijyZDs0xJiHbEaDUHODmQ05X3jGhetleH4iqTtvdYmn
wGOFsjHKobtYk0r3s0vuE4cY/Ra79Ce4EkTQivpRGElyYA9UnU1RV49Fr1t+lVApixkV/aaiFAa8
XDbsfGnSSHvrbGh8hLDFMGZZ1vM9+HGk6SvoW/o9rpgLq1fnpeE7YE29tozZ2jwynqaPzFKV3cZZ
x6SAJtMq11TUj87T/uhCvbUhrXUTw+LapKKoIlJUt6NzQweLdDLm1qWpLdb2lje5Nrq0vIyp7Zd8
bYPttSF219ZYisgluLf5Qg5qdrXXBrpfW+llbarLtb12PzrtZW2647X99tZGfP7oyfO1PS/WRn1Y
W/Zubd6ntY3vPjp6tTb35drmL2vDn3JIF2HHf0XNii/sYzKwerM/oTd3DnIdHODR9/6GVPMvlJaf
Byq1IcY4w8F3/+uB6qk2mq1pdvcM+J+WV/O1eROvzeN41z4gMCrvRX7312e4tboxf7HEmXgjwO+s
DB7ufOe3V1x1rIVN1tF+sN3wmldtAloY/sodWqPFIBu5qm/U3HS2r0MAvOpyIabdCrP3RZeTuZKJ
w12JEx2KBfEGyNtDMNG+UaHw3y8yFJ9bSMjPNmymDOt+NSJYwMubMcGe1WFqquZsFio74QKajjyY
ud2YDmxsx33syV3aD1RT9M5FusstvdnNLcB7t5LLV3tM0QaPYX4cGunuuzkXn4pkJBWwKzP0fIg4
jbzXl5uB+u4pZgP8hvyBwN18nJAoTIl6Afu53o6FkX/+mw91dTD+8qFaBvGPKyFKgzeEMfvXr7EF
U0Wv14j93LnWqcySY2eEbiBn4QWGQbsFrUpeNIu1OMsPeNwy6eV+MBz9S+vGcemz7Iu+z0M/norc
mm+Eq7cXl6HsK/Vd9WKiK+hZRwe95mHdbs3xURUdaLVC1Bm3ZmrCsnfm7KB1zA5IlyV9ZWtHwkHf
EJVV0M28K9MzBgrkcCnf1NIjoSo6mzX0sj6P2PDxaEo/HlPLxyPL+nh8xeuTzFufaR8f2P+1kf76
Qv+vkX+l6YFB+a+xv6e3ouj/8T/eivp//uPmjVo/Ub9M7H/+/Z/Tesf+Ay4EXmoG8yQYMp3/57Te
/IN+BbIns3L+x/4T/9eUf3BFSGb4QAHA/dr/x89rGn9wNxoMnoA3aGD89P/OvJ60iV+ud0TrFrQZ
WAy/HR7MPSO9h2m4LwiI3WB2GXXE2wh2mdoMdzUSlSrwwhBxpC5GeFh9C5qTHVRzMwORPFZRxC0d
O/KO7jfeavPkoL7rpwMr6yLgAYs1phaRXu16lBDbsKXFGkOz3TRVNx8LwzE3eYsmavLydu90sQam
VYsPICabex3/yWd0MgqZfBXvC33sfIrU7IY9nHckHoASJikLSP6xOhXJYDHl85I311M2riODLWqY
1t6wbSsTlGRq1fsMlvZumId8U9Wj3TJHN9Onqik7k4xeIi0WVOWoBqqp+0FwOjpKNujGc1eK6hFz
ZQLkk43jzaxc41wzJNqFLuCtOba+W+my+AAvWD8ikYY1zFp9pJatGfXHdvgtp1laGT7GTbPSAqa2
JM4FnmQwLZ150MNMnjInnp/7jNHrTYvBx/S9HPkpJhwmG7gbC3lb4ndlCZD3mwrz0I3E53fFCDew
h67FFleFjgeGPbbXarBV0zL7TKlUf44Srz9oVm28OjHzVpYwcXlCCQ3EOfd6xoQYxr71Zh+eTB7q
xh5tIxUiIht5HAUCN/jkiXgWgjih28VyQv5en3vvs85MJZ8WlAZJLtQNysH6TdQJvAPDGsASF0Rz
JBqYzXABb7JJ6phAy95UXdCqiZiRBdhBvNg6nGEbUcD6J9kX4QuNkt54RE1WvDcj38LWYM71kiUW
TTyClzr6xGkJ5QzTJPSlxaa59nPy7hC5Z250X0CBOXpFE18kAixGlQpWZ1VXIw4qwZAcB0U8X8KI
WrZV6O8tfqRxUbzFtz6deh0jK7rrcm4kWiXB47AUY7ULYfGD7eNVjrElZpKz9fB9rm3eU1vgFA4G
PfaEr3OpxMy+G+PRsdvwzdP6DJFZiDVDTnBSFwZy6TYm1MDeUdiu3QWRN5pTqYcKexlACQ/Lxq5f
qBkNvDCPiZVH7xKPCZggLF0zqs2aWEKdxpQogK7f1OPSYoV0874/pHhKvodSzG9LvOifsIfDUCV/
2XzXvNHllo5k1aBgKoBg4A/EtmgmWN03UIi64bYYStfcUrCR7+PmRoVofpDWwZMF+29DoAchjWwh
+cQieYxks3Qiy7uJe5KwmTrKJzNxsFKZtSDNuZNtibtFJ/d4YzAy+sGiu6JhSwhr7AoeUNsGXiIx
kTiOTyBbo3aD/tF7zKfpm6EN1nHWK/mNSAfgzlrePZLaWJ+nPsq2i95YFz4Uz/J1t55eJpFGb/Ak
k2OBmO5Yz1i/ldGjdMntzrt3Ms94YvRCmri5xPjkipF6hA8z74hEW0bUz7NKeNbaXl8HI49Rdj0i
emLCiJZqqL0fyqgQEkyd6BgzJPE1oV++RmE67Gzy2e8WBFJkbayKp1kWlxSHW7eJlKjgSJIa/FUo
tGKbzjGBCheLVp2Ro2jbEcvPV35IcUhjTbu0KeX9aHlfaT/rgMGrTUoSXnsXo2GQDMApu9mUX11Q
eSm7M3RqTktMjt8hiwhqtEeYxmuiLvSMLswfDJI5CNurMIKTdLJlRMK3xlooPBP8Co/ITlyco4VW
B1Pthmc8uznTH6Hh+moYAtUBn472hnTE+2SbfRFobevRf+YPzENGP0JMtBkst9xJAch9M8m+frbl
4N3AZp/8yLKSb8QdWifayTnQhl7bmxaJ2kNqJoFsE5eVU5UdjIRU71zGYyAJRWSE4qigWs/0kkyE
bdPhY7ejCYp21GLQSGJL7eVorpuQPLkTnHu3hWbrSIlZPsUyHLb4AttHyTl/QSJNjI+q3MkfUNju
7TG2LnZvZc96Cw1Rd0oPeHSSDUFP1iqKjik9aIwUD/BkR6BdkTjVHhJ+C5FYxZASN+y2Hov0NpIF
gz3dHJcrvsL2kGZF8ohTikyMqXtg/eTlW05LLPc4NowvKyEV+00GAVTK2X5Y8G/DSyPxyW88rTgB
n5vLeyvsppd0quJ3kqOjxx4s07NRT9jLhTZ612hsodC1ymLiywIYKKD9GaoAK1ptIWknmYuDRfKa
s/EIXNmVK0YTFMboPBST6ZxztdBQmst4HpSw7uwmdgxou3qIHR9D8QKZ9+jRa+4iRozHDsszEHK9
63YOs5ZH6bRFkCRhrG8wnBB8Is0kvjOcYYEzacLv7+ADgA3IKuwQCJvOcZJGPuEqYoNgyzovbjF8
Mdoo3WmW1rNaLSiRvQKHQZS45HpA2sl8XbfKU5OZ9R2ORoc9gdcYP8yhKu+YHcBNb2d2YoSkLpum
d9tvLKQQby8l67yxEafFXfofhcuRjBZ0eCKaMML3ZIG7MElJP0VNlL0ZiYfwtFy3gTRAWuFD8SPG
FS6VHynbPPYIDnkaoNC9cUZdv4EuP249ofX7Gj7cHl05J53g7xwTOqhz1YTTBRizvcevmp5a2234
NLvmUzjiQil4nKAQnsMD+qj2cZRq2Qk3dJ7b1Bsu8TCah6WYeV6XXXLjYryPNb08toOwKAaYDG+c
1HYYaBjR9f/7Cn3lE1H+/lWN/h/l97firfwHapp/3HHwXGHvHFuCmL+3f67V//mTflbrnvkHnDwN
TJwJkEqnE/zf1To5HigwTW4jzwBfRln4T3WNbv7BvzHAywEYczDzUmP/J32H4l/CrUFco+Mf4U/8
t6p1/Tf8jovah4mQZkJnonNAUvZbc9o2rV0lk9rHI1svBDbXEp9vQBOBrjJU9Y7D+h3uDPpeL7ty
Y2CUoA7wm0Hj3KvMTe+ylginEXz2mLwMzBL/jtTzG85sfYvwnTVPojciltr77S3i/5CankVq7xZU
WoLSl9EZCKk59s701TyykeC3/ZblPzR0G532n77lfzPZ1v/9G7DogfmoiL9dP8M/8dSMTK/d0SIQ
8qPUM5dp8KGari1DiLqUe7QPwxDDUnfqYYBsUp338ddv4deWCgcQHwHsWeYHks4OadWv76C1EkPl
6G/2qo9W8b3z3MfyLmnKn603DXH0o/o3v+rvA6D/fCFYSZpFBDhc3l9fyF7ClpyTqtmXFZyuLuqg
fnT1a9UU3o5SM/FnO6z8xqZQHEbg9E6oIS6cjAdZUoIWoSsCU5jhG6ufcV02ao/4ZQZ/vS+g4Ezq
2JfVvFdYSgJRc1KyMHQCadd4MEEUBA5iAQCWxqURzIHjkA9ybuwvEGuPmmrdrZU0PG5KamC4mfMe
vE98O4efMCNztRbggTF+7ZDYTndTm73r5kJWx5BfIYa421yFPBa8H0NcPJqL8zdTHnR3fx7y8MFx
S6zhOToBKhZI8l8/OGcpSUZJmnpPQIyLMmT+kobgEC3EE+QjJD55id7GaQbvb0iUxm+oO16YEQD4
Qxp7iIQcI7++cIE0o24ZBe9dYEiB261Jee7SHVDlGtvIxB6eOMvgV8qQNwU5HzuMC7XvsIHbeTma
1TyOdjwM0YqAaUPMggYVWZ27qZpx3udpyFTIM6yMGAvK8L++qg0GFb99aAC4XHYoXNVo0H9n0mq9
Zw2zE+d7TzfKLXIQeYMaFfTXQP0+9ijCnS7fd2FX3NWTS+acfhyz6ETP2BK7YB9/HkDWtKvk2V61
Y27LBt0jsW3rzPw2uPUSfzKXb3/9vv/1uwYbDtZOMpf1pLVOdv58HnTUmxqYl3w/CgXI2OJUcuGy
//yglU2aX9MzNBdWbvzd/flvPjCidFmrQ+3W5O+c9N5AV9Wz/t6HQ1tTkZJ56a1t31//fuug5k8D
y/WSIiBK91yXWTCV5W+U1zKvCzJw83wPUqfcO6rJyJOLf9YQ/+VR41r/eqxCqQNvymxbtzzK418/
RgYzjoN9LN9XRv4eOiFLcbv1gHuVJvovi5vcEyPPlmEN5tSX7FTI/F2PrOUBfEEgSwLvQhIUfX2d
ERQdkUusErVDjqNxl0EA8BXrXt8kKh2q1rxDXnpnTLM6kj4J9njqEXXSKe6EOTJdyEEoMEreazTH
vtQnw1/TH4Mq4Y+1sVylf7y1tGe04IX8fashhXjGaEjiH/+vwbx1SKOP9XPisSgTgAu82kIc375M
kPs3BkKndfh6LZbkKlPzoaiX8ATFDYaHmb7TaFYHMvxITvbKg5g8ze8RV+zyKnlXUeiyTOPMbUw6
3WxgYeXqXN9lhH1pqPOrPXANWln0qVnqZTfk3jNhAlyBHR4Vx3woE4IsxxgpOZqxV7xFnj+up/c8
Z+3nepKkZpLysp0mBKKZxYvlhGG96YR24nR01il5cm2jyd2Sv0tFaqOeJOLqa6kIIUFKAGi1ottK
k4UH8WILDIbpux7zSw9R526LNcw16rpHgLY/cDHgdoUCFo3j4CMsZXTW14R28wBhEI9Ko1Di1Vnx
VFaoVvWr6W6li82nt9p4x1kG9EImV8ajIKIaG3tIyxM4nxm8FVZxlnn9lOrec4OxkdtQdVt0ZIjl
PA1iXT9YpCvz1ZSterSThciour+nwNiHTnkFZqGObQ+PmQCcNvAmvk2ytmpyS1JEW/lK6MjfS09h
tWmGm4b076XI3nN6wP3Uzi1hsvyi7VhITOO3oblu+8oB6Yrm3GUhVgC94RmQmaQ7GX3DMKvmOq/W
R+ZcUV9lOi81D9m7iJiR2XyzDDMwfeEWyLRGvgzoo/jGUVwZVtFuYT2/s4vkImDKtiE5wN2KuDqj
QSLjPONJnS/Flclpft97REXag3CfiHTaLWl8ZfVTHeJZY9RGN0HkGL8j5enZTntqq/WLoTK4a20G
bIQ88k/rtTuPXDYaVItNS1O/qePk6obUjDIyH0w399aty9XV2IVnXOF6x63xceGqhfcdltMOUwtQ
jsKGCuM+1x6FTAz67OctUHCF6br50HZkbMmB4hPWwXJbTnxZfbJWG4KfVxW1yUKSKwhhNIHFGrdL
3VcIeMl8O4+aIDYUxItfu1y0VZdcP944b5cqpofBkgLV3nsev7ch+/Zz743eru+INMKCw63mxPVt
5bGepek1fIdw1mBpnKNuw7GVhSGQKIJxT6fhXI0I5FIof2zaQV+wNHoX7XpgOaSAY0p74NIF1Lx+
wYUmH4y8ea1q7it7St8b/IIgvtPrx3EB6OG9m6ij3YGToEwjXqBlntzlPEFqm02aAm206Uc+RJoB
6qGFeooq2dkMknAfaaTnvHKzLfpTl+mFngX2Ur9Kozp/PJ08jFXICvgEpG6FJ8NO32ctDC9GWu3g
88KfsRcrUG1Zs9M3tpyn38ucw8Q0uHJLiq4NButPbct9bAl+7sBZyyCfD2SSe+Xk1476aj3OQD1w
5OX23ceh1EuOl7hrX9OJ95b09p1Bdu2hyeUD/U65TwgCRNOSXmeRpL5rqhQsF1/uRzeBiZgYrcQU
iFu4WCvn7uM3HOfsfb0lmkQ+rI8CdhoPXc0b+/gOasO7Swj22GhlSMrAeHaxC6xTVC4bGEsgAlEG
Vrp61VJLP0uVvmd1lINH41JRoJV+nnQuw21fxu5zNUtOVHsRjB698b51EcsBifNQ9mMBGsXC33It
cchhhZ269dvBXIq0mkTAJYKfJfENw2lfptPHSZxMayFmR1C8klVjbFFmzYv77OT1OnnGzMs7cadd
O/Ff3ZYvoE/6epdUPS0/o6G7CoX01pWYjrx29Q9pfGIfzxUz402R4cmtassHXYUBuo8ZoCc+v2zm
g1yvMJanFMg1ZTonzW5Y+KrGiotOkTLm5zWXVTFw+rgYhPamR0Gxfrttql5ZirDQiDn16YLKfRPx
A5uBruDj/M3X0zFs2LWXmW5uhFfB9k3x+a/POOXxAlHMVS17biBnyc4wOdl2Nhw3KWzV7Uc5zAAq
D/oR1YAI8/mTFjeQmgvubjOmuEJud/24VsquuDIoeWcz/BxqKaAlqRrgWnzU69Mm9DgXs45bgKzz
7HYCgrkl/5eIixVGaXUgpiUe2k1flyRsoxHmu8Ul9WHYkkCZfag2u7Rp4kNeVzzw5q6545RsIBrE
3dEaMVMRlWhvJjMGGKQvHsSXEWNz5cGAZ8KI2G0EZxDGZM+reomuMVnWqzbcSnaDDpe0cxPCgRwE
WwnYDgAer+j5ut1EZ/VNeNnyBACyviEHfdpGdfeEgR2tnnAToCS6/qpZOrgARGRUxDAe4l4Pt6a5
aAdIYTu50CaRWrOWBvWAVU/GzkXvC1Zcy2z41sgMDdF3dXTXBi6LqZObRd2ZOK93jjXpJzTX117k
0zZ1jNYfMjZGBruAXTZqyw2sDw1KGYf92uZV5GluYx0KPY/3dodCPD54xKDdJYiYt1OZIu6rckAP
FqqstldQEfPIokZpBho0GBTlzCc2GOpHulCwdYOsN3pTMpsnkTpAvH/svOY19xApM0VfNoNpj3Aa
gS+AY233tQ7FMUmtkJdH/FJ2/LDVVbeJlxWcqev9TvXylFfD1yiPxh9Zp+IDcq1wO0JOZQ9if6ud
MUij+VuPLA1QSMyhJWCGwbXLiFvoYG4bOLRTUsc2to6/BB29odHDJTb+RPMg0jhF4U+y+BBZW4rn
i4AOJhQHAMLNHUmKSeBGfKdRfCtGdZMAp+ciHEk6HE/Kzl1MzWD5PU/8qG1uaQdrZGCsC52sF2+y
49RNG5356WI9RFlqbFI4jUqYYGDxGW60tG+3KtHFoUEdAwaz4K5dO58FbRBcVo6lpE/edchEiN6p
n3TQqETLxfMns0Nbzje8IDPlCQQtJXwf01V3qbv5S9n01o21aK+DwVEh9PYVpC4lVdaobxF4BY43
IgVwTXf7rKIIjqdmQe9LxaTRwyEPEAYH13qOWyI7mxrPuYjDAa9ZF4ih8vZ9TcLfR0cvPYo7x+Q2
dWsKGVyvD+bkIlUukYqqguu2Wi9RGuY9CvWrN/RkTZfDQ+xyxYQe2zlRDhyaPArW9zm42oPO9GHf
2jptIU/rjUeZ3evxNZPVq5b11MhSe2jh6W06zeEKRQdxIqiPTaLm9LAbo0uZj+d61r/SQDY7bZDq
ptUM9akX2ZeUZ1rUOfvGmL3TqDjUSNrKblM0aQGMNJfs0Y7qej1OFxZSt1nPE29wO4TS0n02k+xa
z8WZAmO6LM6EHL4xb2tFXSN076yTD0DfiMiwW/3LmFXZF8HERxWJxyDnd02UfWeNaXzRiF/98rEF
LSmTAz1zjrnFFVbnXA0IhCsKLD7TIh/5nFHVvFRmqSDWJuNz0QiWZYrLzViHVyBvSE2FbQ0E0yQx
nTona+LpToA16wnFXA/pgooPsTe1dwtrIGV7SqMz1PsyIQ28UhUmKX0fan171L30vRTxe8TTXime
Q20p7yLCpbcfT/QOBwTPiPTarNdqxGVyF1rA9iNqApprVnvmLALBG2aZwDOznCs0VmvXskwMiKBo
ZBDa1CvhjvQLYz/eRzW3lIF8lqoShScRMuFpZjK58bR8us/sLnts+iHxcdcGIoKGiDOI6o6OHv8F
16TqqhIZpkkZZeGPjVxPP0c1L5MbXMMT1MOv0ALi7yoBssXUYmACQg4QseAsnQVXkzeD9c/Hlp+i
indtwVRdhNhkc556H1c//WaAmyU50ay+M4Tgt8pX6gm0BRKrsFPT6oU8udJa/FgHVdJamgM+4uFW
4n1BOro+AyOuz74yBr+lhuJQiOoH5ZVo6joPbZ6OusDQoDYmHGMMI7OgcAzbz2R3Ev2ScOLWNzA7
lsBqePk5d6lXLQqsRBj/i70zWY4b2bLtrzyrOdLQO2D2qgYIRMeeFClRnMAoiUIPODpH8/W1EJk3
TaRU4s3Jm7waSTJJjAgE4H78nL3Xvi5ahYrNFtAqk9EI/YSuFHc7W9zAV6Qq+/a09/oTz2liR/e/
7y6cdCBv2wsIGFBDITvR9TUj8Mf2icrUGt0853tczBzELRq2Tt8/NihESC8pF2BnRs6n4Fvul2LZ
JWY5sNRgBGo+eY28173U4BnmoLuWGYPQta0rxH2uULKbELitUmgHJuBDmIwQveW4ygY1hv9eTwHc
xw+nRubpjCQM81val8l3dyLIxumhOWAfhe/Xr9ZrgHuunEqyPg0KOrUWpYIzUG+xhrQCT4/WIxMF
B2L8eQgbDAuhmvct06L2vOrwWtnxWgUmKa5QzryhE3sRGGpj+uctciYCFoMCQSsQMP+bjlQGM6QE
J4Phr+PI4YkxOusGOhKuSdFV5s7HdG2l8vnY/wceN2OkaPz91/qLppjnM8xAPgSjgH7u62/V8rzG
QZA97DNBFGdnLsmha6mTcNZiucP1R9yZ0jcQ5a132lWr3ultv4rj++pEtlgw6CW9fmmebGNIc3/Y
e5jXA4dFPURnYqwZuGVoL1I+reHE2wj5IsZLwICqVB98ae6ZpxuPv78Ma7v1p5tbJyXJ8oTg9n7T
Bx7MAQ5UjfXSXheBtWFg9zzSopuQ6jsgIGNW19+/5Prx3rwk/VFHIBOl/Uzh/frjW1Wvc9yMhj1S
H29bAJ7aNjG/M4r6fupaFSDsJZh1bItDihPo8PtX/0WzkDkBbwAe02mU9frVSy6qhayp3zcexVhO
Q2eD6KB75w7/xWWly2xCjPLoe/40pmI3BZZOLbFfjNTeDHifwjabnpAwX3V+8Xnui/SdVzR+9cHI
G+XGJTKD7v561/0w9WkqctgmDy9NnGbdObQMf5f2dntkSaCVM3qEdnPmwIVCb8+Nv5RTMe9hX8tg
irGCFir9tvzD+K21MbvOEV1cXh6/e3tzEX3Qpr4uecby7KmWzvzyZ/Gbo2StcUC9Iwc+RWy9vrMc
oD7CpuuP8Z6D+etLMJjkEURV3u0B8Vy1wABCwFHVto7sFC8YG7Ch3Ge7yB6kDhVCFw9t6mqBSsdL
9Hbfeg/p9uJAAXnnjltXs7dvi9QQh1udRxvl4uu3BT5dzviTun0JZQOcLsWz27DUDHrFlmmaZEI3
FwlNsk9WL+Wuq/mKtAQFV6rVj0Y70ZiijsNGZZpBCiuRIsO6Go2+Dfos++p2B6fXp3CxKUF6QT6n
dWtS44A7hYUWDxlaxHiLzxKS7xInGyjFYbFOHXN0a9j1YCbZZQ9sHsUMajJEDbDQy41OhjaXhlbW
OrY7bWzZorfH318b8+drs06S0X5aRL0Q+PLm2viGmrAo6nIPsH8KZqeJNzi1VFCMJX0x0fSbOSF5
ZAImhpxd6aePSWt1YxcNlDpP0KrFLUKWBTpsqQ/a1tGZEqm1bl5yqtKujJdLWhLkiHl0QuPy3fXs
FPr5+vsVjqeb0IAdbBfkOL3+fullsM63FJsUpSD2fE9Dq2WBmBHt42A6uJvc8oLopxbjroD2WKS7
doRR+/tL+fPMVRAhzO1FKI2OFP7NlSyzxcI8RHq0xPJqjlwYjGW3aaXcd17I/HmlYXRoECPBhFcg
9H+z0jAFiRqzyOU+qugKZtQ9xpyTsC366nuxdHQ4BF2pdO0ugwKqgyrHmWsOPrHiKNvDUSZfTI7w
OCXMC1Fy3ss5AnJ98229nhkrDu/0ty9ai9m8VdCG01D2vTPL+9WXxgCPASigDsf5aXJccXI1jSWR
+wTWOiQ6Ow3aapKbEg9tMBEvu7XG4dt6Xppz2k9Dk3yHpvHOirVazN7cOcgimCdapmX/vE2QINEJ
aRhyT5D6i+XPUB5M+END0ZqbcX7v1cyfJ1gCDTbMW+TYBuyHtztvbZDd6ZqS+SWRO7ms53AdSy74
zje+ETs0cCmoV7YY5l4bQelSP2IlzS/dlfJj65BGPWO+LEjCPCgO3kEO0S6wS072WtSpy8wa34l0
/nkf5R0766BYuGv80Zt33DqTKLuJR0topNHUHUgwmN453gHOT7SyAf/rxTtDy18U/Lwad4SO4phl
++2TVFA6jHVjwh/IaGw2tWVzEJ/Mi6wGhZCUPf3UGPG1kQ/HjvbUuW/RqFx7hvTbtW1p1nqYEnGx
jxgUhX2uIJ6jij+jtWLsGqpZCSOf6pJj94otMuG1UALTBqgMDk4m4+ddL9bVLHXo167jFxuX/m3O
iWpTQnw8ALez9zFZ5Zs0sh4KCOso1Bnq4UeCp8XQYZfAjN/Y0ejvnXVCicD+dhrpk5xmG3Vh6/iI
/K/rSdhNe15u0plQRE84DYnhkMDWloXb8Pfr0y+XDdeyEfC4gIDQbLxeJqVHCGRrs2zEc5/c5CVj
TIPjC1ZLu4fXLWv2QA65qW9+oW1ON9vhi65GUE7jYBbbym3HMzHTIzqt9SRfMRqdUyJ67U46Yd+b
n0+jTVsaPpqfEmE84+4rCKTvzZvXm+71U+uxvlK8ojjRTZR/rz9IG9uMYFGL7tHxgjiexiosxfpI
2Ik6j1u/hPW5lJ9tpG+hJVT+zp5p/7z+QlISDrAiCnYD0tDr1/e9KffHqYIKVzBFq812ujFy+v1e
QSfcanz7YyWdcpNaSX4cDJ6R3GaHnDT62DBHOTfmVRMOOOHCGN3mnr2LiZJgAAQR8Uk3BtgO9aPW
0Xw9zR9obRgafb5oyrA7J+2jI9dpgEOTPaMpuddBFIRYq2nnora9bbEEw/91Qqn7F61a6XF42Aj4
YlUpY+z3sc/Qo9D0F7vLin3lIbDJBePGd263nysL+OFYFwCh2uzK7noVf6iHFbO6KhuTeo9Vj7YQ
A4LSXkfCBhMhOPHadumLkVyZ5Qh8FwBjSsUQpR8ZHsjjaQyz6EDOZOtbG3br22Jd3xr3Hr9Dylxc
fq6Y6IfxzCxC6OW8//27/3nd80yXioLnXueY+vaMRKIBwm0aL3vNs/dGxHxxXSrymVPxqRtVQJX+
/Sv+VDwL7inqUw5lyBzY2N/cVQl0prnNOQnS2pYB8EXiz9bJ/WkW052+XkiT4FbXnsuAaGRYx4Cq
h2Ng1dOwbRvCdxzELKsX5b3F4+1GeXpz4JQsnrdVNfTGqw3jMMs0JOL7NGksWoO8h5kyYlinrMV6
VX5/MX7xcusjjlLJMjhM/LTt5NLpGETmcAnWu1aUF0AEWJE67h3Oju+diL2396pgjWNFQdGJkI2E
wTf3atIqpo1tmuyTJHEufAw9rIWtgEUFpKLN0WyPORVJWmEDsChDD6kzRgfD0Koru7bFp9Eu/ZtM
EQdjDdeocqdt42KLtUeYLSPPaEh3pTsHyVzt/XF2wV5W6QWYMB+1Ssl0c+mrXZfyw1MFC4PZ9W1K
O/wI68TY1VnXhBro+ZA8eXngDGOTDwTaKbRjh8hRK1HHKRp3dCSbbRs39r4Ei32GlkNjopJfd6TP
bji2WbC+8APYRpteuI2WYVHK42sQ7uaO6AgVFpXnhUPCXySm9sVY1XbG2Ay3M4XariyiLBQJJzWA
QYq2IfzQgZqbdAXm1GGVl9YZAlUHHVjuZ6FLZh9hfHZ6NmStAm+Fo54uWWQhjW68Ayjo9AICBIJt
7YPs7es4gTqG6rk791xtof2zGE/D6Ft7IGjOOw+a9bZQFyYCcZRY5Iw6yPBW09uPCxMhbUABCnZ5
FBTe4XTusQpUIxBwmGxTS2VmqV/LpqmIqR5XTNVsb5HF8wXWuR16bU/KQjZQ14tWZBiQk68F0T47
D+lhwM7g0lJS9nbWvCwkWopBeNVWO4YINhgGrrZnLdr9XI/2hb/++Kzur3HZ3zsCtck4uShJ4Lps
h7asDpBTvHcaTm83L2R/PFA8wdQxLDT6m1udldNwrCb3iA9a9m2CI5tJ7O+f3reL5+klBApDx8cH
4azMwR8vMKcwh0ZA7CEYyGRYK9qvqlUcM1Yee9cD8Jg1MgB//6JviwJelLUT1hcd9nXZeLNCYbh3
MzdZQUxwf7YMv6BLLnrD2C0nysVipAdhojvWrU5uTZ9377S1jLe1vVjTTdH5UcDTT6Xj8vpDzw05
hllZC6jfUmMun63QDWs5pUJRCjr+Ufq9t2e1u6ftkO8L21UPv78EJwXcj4XR6T3QIjc5y6w8xTdH
UB6bVpitBuPKzbVQzU13KG1yBpZcx+rfqtQnh0TvnvFvRFdcSPuqnlCdVr3pfdDAipD5IdpNN9rZ
bigX71HvCK2smo7qLpG7Mk/au3Geu6NDqhOEq0RcNI3tXgg5Nh/NGFVCACGZOFG/v8ECQXai0op3
ii/H5Dq++owUsLiiXQvKI822t2LKmaRmu2EL3Q08VRejRQy1LmNj46tanZ0+hD8kxY1ObtFFl/AX
DB4joIz6EkIuyzYLJVho0YvYWEkUH3ySaUJRZ7gi0HMdMRV+h4naHTTlIiHz1BKmsXWbm6W1le0a
Dkgyx6FoXILAHBzm7gTbxnG6reZALnCIRgUI3C8ofMA5YSTRdqU0l7CNnCCG97/L26a7mvifO+kq
JBZJfAc6XNu4BLaRESE/Lm1msQgNZ84IGBG6FhmaTaIuzVT0jxpBH7+/ZayfdlouJ034lRdAK9h6
e9aSvh+lC+cm0kVaeieD1oIpVhdk5nwANQakYrCN3dIb5DG6xNiYdLw2mSO9A5ZukEgp3auc+TIR
2TxmWaWSczhH+nNDaCjjZX8556e40B7rgYmwXR1oJA0EduBgAYz8dcEle84pD1RUj2TP6Tt715jY
y0B0txvSPD7Cgx92MP/uSxrSYU5QyzvrxlsMDag8gzM3TyzgQR7gE1Xhhzo1I4XRpZ3i7AzF5u3h
UXgyp5EhGG88Ygf1oDzVHqmuI7ZbSys1hDhNgoWv9w6zTR5AlkSY54u6fEjjVd6R8tjlC+Au0hFh
q5ij5MbEQB+2iONCveUeIfAx2xipR4yU7gH0bIf9NCcGWgL7w6isR1sDPDz74gPwqW+cdTBbMp86
L3tNHGJEG5dxlXo3PfXkNilAHvqq4DheJRIAytTvXXoDe5uR347BJDe64iWxOVvv9HB+de8wubBp
erP2/VQUkhCWMKPk3lGF8x23gXezPivtgIN0NGL1Thv3BJN48+RbjoVCjU6u6Yu3YuZyoFelDz0r
LHKqMGMO/YiwLDmXS2WAmiinnaVH2VXi9sm56bUseC3llzFy0SfVUMF7Y7RhmvhJ+dHFGLuX0eJ0
OwOVz+SezXjSwoa8R/4Fklf+7UZSE4bkzEWbNmP7MEeeZsr27+SALLdmjZjPaBYYynB0DmRHGEwO
p+oi63R3S5xLvEuQxD+MpCffMfCPQsNM1K1MicC1TXQauW3Q4iKybBtrHG0Qc/lHJrK3Pf4YGIkz
KweJUpelW4mLFnfF5aizLHcSqlC3vh0mpsVaiKsHZ+be6hT7mpYoD+a5KbJd3eCjbHotuzL1WodI
U+lPVgQEEREz4+wkqTVygErazirWdg0XMkiE4W4TekFUoDwQyzsP2i/uFm4SejGrHn3dJV9vkJ3r
FnkZo4qFTLWuIVy/VjpsTjXhKcLhgfj90vbz6zFVRJFOicVB3Xl7SncBPbUadJddUQIpU5KnYc3A
OKI58g7J4jTvPA3Gz4UlxzaHz0ZQONgv+OSvP6GHvK0x45hkXVQf23QF9xj4dC7SkkFUBarofPLt
dBt3LligoT20HcuFmzfWtsbUvRFjxShgFNFm4uS88Qc2Kl3xVeu13SJKMPq9bPgoqVu3d2XHcu1U
6+ZOYiw7T1rcOFX9PK/LSFw5JI6tUHWydZ7RLxKb4qIKzepUC2N6k/fgb7rjQmByoZJ8x5The0Ou
Q7iMzvdcFM9mwnvX9H7akR2znNPXMrfGQDSdX7f33cK9bmis/KetVeaUWq0XJ48oyqwtIZbLrYHI
F40ITxNYWm+fcAue10mhn4+93e9rd91NS1ISYkldgr+erbYclkBfn9XZZP1oy2H+Ui2sb7niPl8a
bvG8bbsDymL2npxlt8tlQ2Z4ru24bta2aHlDkmwuAljZ630tYQowN9Nff1twv5Omo+1aoXGar1GG
hIOJHZaMi5kMQn5Clpjd0U4hIbfUPKjDRuqBflq4iFN3THrduzQaBvgDttyj38ceQVk8oVXCP9Fj
Kogq8nuQD4i/0XzjBY+79io1UBFVYFbZF/iYGpzcK6UtSyiVAYJlrt09HiX/aJYp164ARlMs7oML
775Er0s+j20eeTrVBZ4awghGnprYAfEDWYiSJaWMPj3uPjm+uCGg74FDlKH0qXQSbOnA+a2eQztf
x+np+v8auqLTkyen54dlJnzun//PC3bYfr56Ll/+8z/C52/t85+OzucYP+fhWb0U6Y92TuPvn/IX
fcX6g1Aojz4hHYZVa8FpaHzp+v/8D2H+AauJpcLCoel55g9+TlP/gzMEAznHcqCrm87fdk7+RsdK
pONa5hhr8qz+E/jKmzWSnRsXC5193JLIIOiovl6xsqw3Jysqou2IGjDLpj3ppjujM7G72O901N46
R/nsTOfW9W6tNH3++Pq1iPWUjKC7CCdOvUPSczdDfe1ysatYo3Fef0b5vunHTz7kSbFcxyALNon1
WMRmYKbT+URImFuZ7x3buJI/Hif+fFfsSZ7l8Pbct+KiiDxHn25FtJXJDFaqOUKLRwhLPu0aL724
WN+0cuO2bFuoUf1YhTOA7iCKce6R4mDK2x9up5s/y5lXWMTTNf+hzFnfkWdapBZZLt/JT6fnMhFS
Q4VPGuAyJICK7SPLuX0HtTi6hkSOuNbRimtZKPTCk7sw1mBa3C8ORtIcfAUhQZAfKgfiqVGcW4MX
nYNFIJis2kkkxqFVjU+EThdzFaq+D9y6unRVkMLPmDxgFBUMlWFNgMGY2RGqifJzDadt6iVsEgfI
mXOpN1roy2wn7SrMChJA82E3JOmZq92NZn23EAdkonW1Gzrd3sw2MjBAwKtAEmTsEjzWkGzomoe0
rIKmfZxLjQzSZrOoL1p17gpQkPZonck5KEz7kPsf1UDFNuRYi2YmLnISR7v/iK0NeTLBxaRLw3UJ
yw4ceB/fLvYZIaVXJFNuOPFtPHjqpYjOAF/ShIemHxUXs8PRRlVnliV2E+hPNwcUhPp512TevNNG
ckVA4tOTpJwa1ybXpYK3yA5JrBoGTV6zGLeSPGiLDPfO+QTA6ywrnQ0A+6NROGwPA0RCtYvRBmdO
zS4PuKLouDy8jE8mSjPe1a1zy/eJCtY6DL1bBsuoqIGY0kJXMBrU4NcAoy+A0AYp1Ar0ZQHTkDNp
82Qqb6tn5UZLP+RjfdDaq1mKHclUzwrNkm2jm6yfuu5rhZAn9hqSBf3rjgOWP98Q/XnwcIOUntil
JbyMCB41Pmr5Ie2jp1iU2uXc8M0JuoaazMY71J/g2GJuLbOP/JuotOuvsdVEaSAlF61UMks48hcv
wCSSW3OJ62cfFotLs3x9aNb0ciNKjmK0PwiQSg9ubiqwa/HweVSr9IK88v04CjK33EKPP5Yyr3Bm
WWRbRtVCrnKOHJ5QlaH8QLD3sDMA7oQ9wV2YmEacebwLd3p22rk4VE45oDluSKNPlEwvrMG6dtrO
vW0XJe56s2x2/2/3vx+ZY/+1f6nX7aX7v69QZP/1+o/dn3/GmL3uSq/+sD3tULfDSzvfvRCR1v8r
P2P9l//uX/61z93Pkn3u+VtJ6nuKfSr92r/Z3rj9bRbv/xlOFr4Uyds98a//9NeeKNjegIs5HFI4
dvPr33ui+4dn4JwHKcgs5PWe6P3h0aWmwDbYrDiy/7Apen+wHfK/wCNQ9DOw/iebov92T9C91ahr
g+BDFIDT9M1OlVaOLHl7zT5tk2UOmrHp7wcVj4+J6tW1NY33tEm0uwoqeY6FKUE5a/vASySIjtAZ
s+JzmbfquW3q9BihM9yi5mU9WgOCDRvASVrgSJpcfbrjxycBnFB5E6dl8UK04ZdxjRkeFwbZTYZq
jVSs+kb6Y3TP0aKOg8boPlm1XT7XBP2Fmjkr7HV5fjPXzh1Ce3VOzggSUmwQH63M1VkqlghXjU+Q
dd7XHzCgPMItgmBEuCvCkGbaupo27oEMs5uYJkmTnSTsfG4+QDVPtijfa8BKJCtDVkRYPfTNB7u0
NZITshLrH+HN9MOZhwBU3eOMGz+Z80SCrBkV3/1IVhfKipMvHjtsAG60/wK8vbvP8CXvsbuz76BL
8qE6oZANsxLdbNC4kfGUZ8m8YYANHRqV4MVoTOO8MZehLsFo99OTRRqmxHTqsDw0ttI/14guAuZm
iNCBkKLVapVziTkic0AZ5t5HTyu686QxgM1b3iIVpJcamOf/LgmnheXfWxJ+Wzdv1kyhlIo5+cVi
wv/8a13g6UfItbYJeOrsE4/wr1oZjInhmav6e9VYEhH0d7CQ/gcEFaQA1NAsKrTw/q6VLf0P0oTw
pbv0iQ1G9e4/WRYMCvVXpeIq2PHhFPq8C5ANb2WEQ+IKgHjZvAcO2zwQXyweG2HEl54ZkTeWkYL2
udf0LytG/8VrreqJR5nbGA7msLW7sd4KRcCfcDT/sTVUfaZKGYeGlxbfHBJkPv3vzfjv3Ix0c5lR
c87i0MVvTKq4321VF8/fyLv68Z785Q/48/b0OJWRU0VdjhZqPZ9xq/19lENBBAsT2Su/Wbemf+Ve
iT/oCXp0lxlN0Rta79y/yDxwNHl3UDR17luOH3Sm/7Vv/3VQYMv/n/kIzuv782+O5qnB/UMD2y76
OjeI6zsUoyh3gBR9oqgkiv0Nfil8dJZfLedCq7z9YLXdmd474qw2vWQIlNtnV6Nccy4qD4ZcKKaC
zAiNqJ/O9+aPMiuB3dFqxu3bIuEkG5VEmLtSZt2tyHV7YlZQAlK2BNlODeFHMeMDGhucXWjFUh2v
/bAvylOaPKq6ti/JcbHOiskYn1U0V19kkjM6ARgs93VZtZTBTgrhvFCdqx+Yk7tP7ZyzT1m1P837
We+JqjaLQjXHrtYibdMAwMzCQRrENWWem95OUjgYV5a2YZxK2Uig4USHjRi9DfWi+9mc8/JmmowZ
Dp8ywda12VIUO3NukrVoTfTPDUYTkCCW1pLklffibqpSVQc4ltXXzNGmMz8r7TODaMs7Z9U2r1T5
D8Dqh0+I6p0biGzlHXHV7l7rbf9gF3LZK6DV20hzRXShHHcNCKH3aMXuxCFj1LwdBzlmIrE5JF+R
FfE9slkl/rYwXcVcIR+Xc6m51vcxUtMHHUftSwqJDaNhLAmbNXP72iew2WCrzmgElnYWPwi7UDiC
OdTcJNLXr2aO9mOAP2fheBLPap8XJDMFWazGB5q+2sfGT+HnuKPQHzyMcCCD3GbOtykM7huPFOMv
mTECE1q8hhFFn8fBpMfdDRGLRAfUsirFtpSRT/5Y3l9kMFGboLE4bAiyWWiplcTiBNiB+yc4PjDz
iPvqXmLgTPcOIAgCmew+MgISdzz4QIN3WcsWQ0BcV0UR9r5t7nNMwv614w9Fs+3njLw2Z1VBwJgB
d3E5YpNLIS80tb3NVKVZO1qQ4oWmYGSHJHfRC5VZJZftOuYxNppfgp/rnVY+gW5PHnVTYrcp06m6
LlEpkVsqy5lc87Eox4NTiQG0f9ROa0TwmmkzKLxzG4sXIhDJmZM7x0ialqvvxo9lZ0Xf00yK+awt
zOiFkLL+4GXNYHzlvA5MNWldQ+2tMsJZwmv1ePBaKyEwrTCNi8FPqiiIisI7JuPYfSU+etpqrRyq
UE9L/tyZnXZhaGmdE9U5+E92vSzZTZ8odwjsKSLHbJzLh6aP7W8zDeHPUwzLAs92JCThFCVWVRLE
dpmu5TbZktV4lAn5rUTqMFLH6AXpdw1gL7yNXuc9LXM/Hnazv1I9qFO9F1+1LufPzje2niCsOUA6
Lm71AdiSYpiJZrwcpg8oK7ovfut0nzIAk1f2tCw7Z+j6OiQ1BH0kgi51q2l292lsHSdonZHsLdCa
DJGgFG8nL5McG1WkEHL6fUrqSrKqL6qCawG6ElszGNtPc9nl55WRO8mWsT8i+Qzf7bHq44kwusha
KMYr0oAK0kWSIHGUQ8KpcLduV6uv/oL1gQCGQeDNIi76ssiL+c71l8Tb1aBOo23hzBPedc3ZG7LQ
j3iYRygafI2fwTQs33qti13SAvT5UmckdzmIJL70GfglAaEE4m4sZfpBKY2g1UK5xlEf0VDbXdTe
pd5I5EJsuqT3ME4K43qoHus6EVu1jMmugwt23w8sOZjSIFtlOWEkAf7XFA+BTsDtYnvZE4j7+jor
4HN2KyCEOILpOETt8m2YLZJ/Z2Y7xj7Pa0sErpr57mmeJHCHxlh+pgWXf6ZoMcczH+kV6JpJtAFr
eP/At4MbSp9j49oisw3nVd/MZ5ozjSBXvM7y97XHjCxKtSHf6IBwJfdqVn8h48K97+2Bm7CB0ITE
f2yyJ6O2oT80UGOCpmlrWKyD3cPaIlcl2dQYUEh5FaRA7E2py49QSLP8zvRqzLzwRll0Yh33MegV
3TxPshkoouLyL1uRrpwQV85qwrI3Wvax1efOQq0j28t4SWlNjJU/45OO4Tu0DcCJKYmT7wn83VB2
enofmy1QTIahbDeiyL191kRZsiHmUGyj2ZB4TiuRHuxKJ1dAq5vpzFbNlATWHBVnw6jcZeOoouw2
Rd3XV3pmIi82YgJ2mNRMN6Ns0Hxos5bvFbLsowEnlQzsobCJDTecaddYVnZhtQb5I2YNgFmXVoIN
6LodJiADSQ2sIWg7tVyASpDboSRsNtAbW8+BqJXZF9Hk1VYvrPNxAksUkOjH/yIIo7mVteBkWJCt
BxdeBy859w5nS6bsMKGJWQnjXoBl7fA4fyqx92O87ruDcKHfkwHiBrNRfAam65/TjqJ+yJGxBknl
F2eJxTCXxwWsEw0D2HoBy07FOuRo+9a4w11zaxo14Xi6Wr4V7AZs1Gl/X1SFd46+dc0kibyNXXX9
XQVR57vN5rO34t4CIu8+i3Z0w2XwSYUcrfhg9l33YE2OdfByR/DoFgVTTloGL03qR2DJCuXfDJBf
djnAr2lD3oI8M6K+3LpzOhDPZdA3sshMbwFnZNPFYjWE3hHTHvoqyi8Lh4V8m41VA0YAXs+8sYkG
GYLeBYS9SchNgWIx+xlq1CY/LmlX39GALc4mbrULz+uz88VP7fMhGeispXLoHn3us7BzKu8r8giT
4HkiJq7tsvDuyJkRh6zvGU7bEt6fOWnmN9JDTFDkRnXbZH4eNFiA7W2Zx/ZBd3r5oFc68pmBr7/2
m+SxTHJRBjj+F8ZRbkzkvcjEVZX77lcj7R192/pjTXO6l09969Ni6OlUNCbdvyk25I3buxPo7mym
g5hn8VXndGJr1SJBVqmneJwKafXUXKZ4Khcrmzc1o60H107tNnDGMn6Jkia5LiPNusgGKcpNUfIU
BqPsDTbQehg+K3sWHGsa5ENIx3UWgCj+LHQi0MGsKvx2bqI95fRQU8JRs+mj9DN3n3hSXK+tnDNi
XPLvvN/2BnfW/MVfBpyvi5w7yrO0JT9KtV5/788j7YOsG+FXW9BbwSk583zrxa23E3RzPy7ohXai
qcpnNH+UGrLLxzjou2jsA/AekFHNxor3fFXjhQEuldUhjdrbtLXchvLFzbEXLAUrlQl+vdjKIWlT
UiC1od4PPSGhR9n2ehx6/uQWu8JIjKtOSvuTKUaFgQuu/LxLsYgawcQYFL+W2XrnaSyWcoNhoetD
NfqkOXs0pK3NYDZ0lqN5bD+P0M+zENWpXm/SpYguyY+yoEKTpHDkDvGXTW2m/XMMGsQMYAMYd7kS
XP/OG2yE02U2HMypLD7adtLcyaagGdVyHrrL6EaFylDxRgMldZ52jndtrCTs1Fih2NwFkPnYd/GG
C5Pw5SBfGdpzMaQJQ2tKgmBsu6TaxukKbzZO+G3vhOIeFVRuaOQAugExAusuTuDu+gTxNk9Ab76F
ON5Mfi32Lm6Xu6IwZRMuJwg4jGL7e1ZqvhNWvmY8+CsvPF3J4d4JIl6fgOKMeYGL+xMxZUEzNFiC
iiwDTd31CWGzMMnpg6V3/copn0/IcmrMBZu7l24XAc38hARqica5AFzmubv5BD6HW2Ju/QSXhncC
o7snRvoILV0/gdOpeoFztyeg+kRbOae+LrTvBTo4arShPZIhAxlmUU1NOnc1bVth8ZjYK7GdOxt4
e7Ny3K0T0j1TkIIitVIpgPXf1HohZ1yuKwheP0HhuauI115J8RHU86O10uPzE0gePfsKlVcmmJ/W
WmHzgh8ZPzA95j0ZK49ejgI0fcMs43tN5tBdaxUANQo9B7ccNUOoZchjxIALr23xdPfMR7ZuRK7m
JmJ2SVp4DFkjrqDkDQssK0ZggPOdlaGfrDT9/ATWn1bGPrZ2aPsn8D5uRDFdgp/Q7hEL81O8ldIf
n4D95gne368cfyBa7df5BPdfbANxmz7KOLDM1D/3orpCNKgzySGO3drrWjdsVINWBW/0tI1btIau
SU4AVCuxHG3AKWCoxbCFH6voSHYDqqfePrOZij5SB6B6yv0KES/gJx6aog6wsdPs9BmNbzIRk6OZ
5cNdbQ9I4kuLcBooWiSVVI2e3gp9KbYGqG3atjgDz/XSpJxy8mhrutEX6lR/r/NMbuuhJ5LK9+Mn
sy37LzN2NrhFTDVwHpj5U9zV4jZejG4KOB1kZ2OtFfsFDP2G7LTpfpqimznpjc8GCZq3BMnxXJqr
kj9ynenMa9R4sGURn7uuzLnubnrmJYUPcF+kzr7OdfNTA2+KNSqtQROlWmntYLYT9oV0XoK6jzOq
2TzVvzgsMYeUsnSb8+B0lwR4rpZii8Mx7AZqV6hZPXTPpTjWYCnSQC/T+r5G+7ijhHNvXHeyP9g4
s49kB2g3dedY2xFN0BzEmavuGw3UfMDKax6R9XpbManknrSA6HPiYtwnB2aQLI8xwVmQpXy4JJVe
XlU4BM6sKHFvlG26bdB43pwGFhSbS0ezhkOSJtZVyozJA8yRZddt0cSkn+ko7BJ9EMeojIHkRUPW
f5jNIn1gsKZuSPRxsNxGxo0Brual6ZJu1/pZVAauOSdaoI228cnsa6p6I8+OEP+yS+bePSgcRS+j
7AkaSIfB7EGHldmxWKmQA+EK+8hrStTb2nQ0pSsJHrSnc63gw+aCHxJEWtVQssa1u3XIJPzUstVB
5h6JNVtN9sT09cWHyCy8+z6BAhPMA7mCQO9GKIA5EJH/Zu7cltM4gjD8KlQucpVsscseoFJxVSzH
kQ/YqkRxLlNjIAKJg7yAJPT0/npmFu3CgkGDK7N3AtQ709Mz04e/u4et6KE7oxKyYDruKQ8SZ8Pp
ZTgJr1+n8R01BuLovwxjkFv5yw1pHg/LnxfvV/FD9kmuz9/vbm7aU3oUxPefUi5l1vLxy6z9enk3
W/Rv6Pl09hPG+fj232lrfN5aEbBbjPOHh1fN9BrgJUGG5OMjV8qSTuLXFC/6Lq7G7xDksmiV2ijX
2ncm317MRtPF5WwrFHbQjwonXD2hA8NmLbJLNxyRelA6aLePxliBPln2iclFnQBfNuAyXIjj2fTK
fkx7H5L6yOiLSaaVx7ynxJtds98/se1I4jadfQMfaHftm/6vP1AIGxR3JV549NwTCpwDhwEVYSYJ
tL3EgzZfUzI9JcG/LLv1K3bIxA75zWGTBw9E7LMF2tGVAWCBcG4Lxl8/FQZ0QnoyYazhIll/zfs8
EgLLh01v/NGCEAcoVvjgQf/X8aEVSH1o+rITQtLP/yQPPTw3CwnHX4G/KccXsE0PE4UNCqVzgLhB
EoH3EShZaRNknQC2UFSc9gH6YY94KQPOB2EakFcEYq5Jbqld5BIfOnFA6DAk6mL5YGTOp70A1Oww
IdjAYTwJQZjQ1yFJqAJRuw+QhU7KcUGMynDICJ1HPKAKAj21NnEkxx4HsAGZB/pBwZkaUcjioJlg
85PfYr7l6vRrS0j3O0dRiFAAEvpMdRCGGh7QNgQ8C1FrydKQx0tRIHnPlQ1RQDW8lHwUYALyVFWE
LAwocsy5wZ7Qj3dqEp0gJKLspCaEzQBEsZQSg1LpTERJjIE1pWCaDHN81JMAaAj+1okBUcYyt9gM
9DvQDxMt8aGTBhrkjbborRSEMeUlms6nAhoh7ARBXLsd2lFApjvnQtM/SYibLdd7oRUGIEASGFA7
+ywTUD6FmgDm68fDw4AmRqAhDlQWd+sJWcAUU7ogbSmLIIZFPKyCYDaeRwpCCPxdNoKrphTRGytJ
db1Bs+WrjMB0TDgWyamwt6c5gr1iBI3oHY/FELOJNLgI2JoR+I3LkWMR+xrr2lcdIRTslCMTkATy
R0P0ZrvrN5jQDiKKN5JZbs0K7xSlGAikq/EUdgIKNzUFRrlLEqTiDfalebzTmHWCFSmk7sJAkR20
hA0rWtRlfNBRh9qZ+vFOCqjuYHV4Aw5ce7mO8SU2gwSgZEytGrvOFTWpjQkdURUSJ4sREu+kAKNO
6jw66Yrgg9vAeBP69FVmnyUBejItuOjR5KkIUI/JdfaYjRQ8aMXtQgeqasoZnrQEBwuAa8ME70Sg
hafL+UrAXCD8A1K4MAgqktAmsYT6mjhR7LXpnZ6I3pKalXn+YRCGAaYX9pKUQioZS5mk1WSwxrLZ
J52ISDXr4rz8rYDyFQIWR8sszRx3upTHxjyw6+6f8FO7yajsz193TgBtJJEyVacKAHfHgMLVXJwA
3t2EhYngygguAgwA0gZSGz3Z2AcdGu9KzZHCv+afNIhby/E2RDvmxqdcl1QeLO2FdhbQdFEyHqym
cMTsDzgx1iHYsyGZLjpCOxrMS7mM3/xBEcbcJmAjdBKDlLBL5YeS1GRIm0Cl/P2iYkbr6FnpyyKa
pt9j/91OcPvVlXcVsyo+PB8NcpX3yCjXMVI7TFNhgK7RQ0oMXOSqP5gPK5EjHTV4GtBWluZaGdpL
fz5XkzJZ44F2JftyNFR5mawJ+rqSPVf5Sk1VmTB1VySU7kx5NFG9oRrXctp4oFxf8VZNJsvGj2py
+0vjnZoPJ6MKh7C2RY93fcs7lU+BONxUmYRzi23sTBs5HW8Q1k5qV8LvFeWRVf9+MLgtRql3qaRI
FR/Uph0eJONd1R+u6veQcSO4Dv9jf8Twi4HKyK1R5kr4Ytlf9oaDPF9ViEtac/HB89lysZxeq88F
HT1qY0W5jvpPda2AX6pKoJscarFRXGn/NaKaT+XAsnq/K+FLNRmNGx9Uf1kMUjhi9WlX4n8vFlSH
qTnEwS6I3uZK/x8qyDReDqZXalwQ06M3eoAr9a7iMOfAWuQVGbfuJ1fqfyyvob4oj1uCwToC6Ex7
VhnxOsjsSpdbWU3U1FT+GfVmn1ndN/MxSc3z6jxC6vycQOp/y5fT3dcTxo8JlblOqzt6nOVVdeDJ
veZK/DInA6IqQZb4CW6mowox7U4cPug6+UCpJ1nq8kozE4F1nUAR6aqp8KmG+AnY1B1coeOoVWVX
2LFj8rou8b5KH45Mf7Xeb+Bxi5HKGWdGL4VKXUf/zaIEjlM4Gw7VYjGab5U9sJGtE6yvvmfIYN+U
TvuGE9w0b7kKdtI/gQhdDthaV5s6PvAuG/10XeRDM/wd17r+PGpwbzR2SrJUTqWgBQcJZjfR6lBK
Suyfb529uYZ5bluhBYy17t+qJrb8ojceqPzFVwAAAP//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7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/>
    <cs:fillRef idx="0"/>
    <cs:effectRef idx="0"/>
    <cs:fontRef idx="minor">
      <a:schemeClr val="lt1"/>
    </cs:fontRef>
    <cs:spPr>
      <a:ln w="12700">
        <a:solidFill>
          <a:schemeClr val="lt1"/>
        </a:solidFill>
      </a:ln>
    </cs:spPr>
    <cs:defRPr sz="900" b="1" kern="1200"/>
  </cs:categoryAxis>
  <cs:chartArea>
    <cs:lnRef idx="0">
      <cs:styleClr val="0"/>
    </cs:lnRef>
    <cs:fillRef idx="0">
      <cs:styleClr val="0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60000"/>
            <a:lumOff val="40000"/>
          </a:schemeClr>
        </a:bgClr>
      </a:pattFill>
      <a:ln w="19050">
        <a:solidFill>
          <a:schemeClr val="lt1">
            <a:alpha val="7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60000"/>
            <a:lumOff val="40000"/>
          </a:schemeClr>
        </a:bgClr>
      </a:pattFill>
      <a:ln w="19050">
        <a:solidFill>
          <a:schemeClr val="lt1">
            <a:alpha val="70000"/>
          </a:schemeClr>
        </a:solidFill>
      </a:ln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alpha val="24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alpha val="24000"/>
            <a:lumOff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spPr>
      <a:ln>
        <a:solidFill>
          <a:schemeClr val="lt1">
            <a:alpha val="50000"/>
          </a:schemeClr>
        </a:solidFill>
        <a:round/>
      </a:ln>
    </cs:spPr>
    <cs:defRPr sz="900" b="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$J$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2</xdr:row>
      <xdr:rowOff>152400</xdr:rowOff>
    </xdr:from>
    <xdr:to>
      <xdr:col>10</xdr:col>
      <xdr:colOff>563880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7CA0AB-BDBF-8052-EE6B-052FA7ECF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548640</xdr:colOff>
      <xdr:row>4</xdr:row>
      <xdr:rowOff>0</xdr:rowOff>
    </xdr:from>
    <xdr:to>
      <xdr:col>18</xdr:col>
      <xdr:colOff>38100</xdr:colOff>
      <xdr:row>17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E00419-82F9-6172-4016-86AE58098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205740</xdr:colOff>
      <xdr:row>22</xdr:row>
      <xdr:rowOff>76200</xdr:rowOff>
    </xdr:from>
    <xdr:to>
      <xdr:col>11</xdr:col>
      <xdr:colOff>510540</xdr:colOff>
      <xdr:row>36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EF376F-E428-BB04-4D43-6DB68CDAE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320040</xdr:colOff>
      <xdr:row>21</xdr:row>
      <xdr:rowOff>144780</xdr:rowOff>
    </xdr:from>
    <xdr:to>
      <xdr:col>20</xdr:col>
      <xdr:colOff>15240</xdr:colOff>
      <xdr:row>35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1D044F-E47D-99F0-ADB7-5603CBA30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335280</xdr:colOff>
      <xdr:row>21</xdr:row>
      <xdr:rowOff>144780</xdr:rowOff>
    </xdr:from>
    <xdr:to>
      <xdr:col>28</xdr:col>
      <xdr:colOff>30480</xdr:colOff>
      <xdr:row>35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BD1736-C031-A75C-EF63-834D685FE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22860</xdr:colOff>
      <xdr:row>37</xdr:row>
      <xdr:rowOff>144780</xdr:rowOff>
    </xdr:from>
    <xdr:to>
      <xdr:col>11</xdr:col>
      <xdr:colOff>327660</xdr:colOff>
      <xdr:row>51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549204-0941-2070-BF5A-C7320A4D6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312420</xdr:colOff>
      <xdr:row>37</xdr:row>
      <xdr:rowOff>144780</xdr:rowOff>
    </xdr:from>
    <xdr:to>
      <xdr:col>20</xdr:col>
      <xdr:colOff>7620</xdr:colOff>
      <xdr:row>51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9C5147-0EEF-408F-6E19-DDA28D3DF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381000</xdr:colOff>
      <xdr:row>37</xdr:row>
      <xdr:rowOff>137160</xdr:rowOff>
    </xdr:from>
    <xdr:to>
      <xdr:col>28</xdr:col>
      <xdr:colOff>76200</xdr:colOff>
      <xdr:row>51</xdr:row>
      <xdr:rowOff>106680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FC281AD-37A6-008C-C423-81CC3934B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1</xdr:row>
      <xdr:rowOff>106680</xdr:rowOff>
    </xdr:from>
    <xdr:to>
      <xdr:col>12</xdr:col>
      <xdr:colOff>106680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218F8FA-90B8-8BF2-CA38-01928F798E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9000" y="304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601980</xdr:colOff>
      <xdr:row>18</xdr:row>
      <xdr:rowOff>106680</xdr:rowOff>
    </xdr:from>
    <xdr:to>
      <xdr:col>12</xdr:col>
      <xdr:colOff>297180</xdr:colOff>
      <xdr:row>33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2AED167-8487-D879-6619-BA5805E18D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9500" y="35204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563880</xdr:colOff>
      <xdr:row>5</xdr:row>
      <xdr:rowOff>83820</xdr:rowOff>
    </xdr:from>
    <xdr:to>
      <xdr:col>14</xdr:col>
      <xdr:colOff>259080</xdr:colOff>
      <xdr:row>20</xdr:row>
      <xdr:rowOff>83820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7479F04-9ECB-B7A2-1DBA-AE6FB13911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9982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5</xdr:row>
      <xdr:rowOff>83820</xdr:rowOff>
    </xdr:from>
    <xdr:to>
      <xdr:col>13</xdr:col>
      <xdr:colOff>182880</xdr:colOff>
      <xdr:row>20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AD61BCD-4B9A-6846-6066-143A098B67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5680" y="9982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1</xdr:row>
      <xdr:rowOff>160020</xdr:rowOff>
    </xdr:from>
    <xdr:to>
      <xdr:col>12</xdr:col>
      <xdr:colOff>60960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21DB5-9449-9227-ADDB-146546229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563880</xdr:colOff>
      <xdr:row>1</xdr:row>
      <xdr:rowOff>99060</xdr:rowOff>
    </xdr:from>
    <xdr:to>
      <xdr:col>20</xdr:col>
      <xdr:colOff>259080</xdr:colOff>
      <xdr:row>16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D4FA29-0846-BFB1-EE9C-E29EB5093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220382</xdr:colOff>
      <xdr:row>23</xdr:row>
      <xdr:rowOff>51547</xdr:rowOff>
    </xdr:from>
    <xdr:to>
      <xdr:col>11</xdr:col>
      <xdr:colOff>504264</xdr:colOff>
      <xdr:row>38</xdr:row>
      <xdr:rowOff>105336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2128B8-2319-BBBC-E4DA-E9243FC06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0</xdr:row>
      <xdr:rowOff>152400</xdr:rowOff>
    </xdr:from>
    <xdr:to>
      <xdr:col>12</xdr:col>
      <xdr:colOff>266700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85CA7D-A7D9-0FDA-273B-F0F52A412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342900</xdr:colOff>
      <xdr:row>0</xdr:row>
      <xdr:rowOff>144780</xdr:rowOff>
    </xdr:from>
    <xdr:to>
      <xdr:col>20</xdr:col>
      <xdr:colOff>38100</xdr:colOff>
      <xdr:row>15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E90B85-5A43-FC26-42CF-4263A4E19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83820</xdr:rowOff>
    </xdr:from>
    <xdr:to>
      <xdr:col>15</xdr:col>
      <xdr:colOff>228600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2A4C0D-8D0F-34E6-37B2-7C6C93292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22</xdr:row>
      <xdr:rowOff>83820</xdr:rowOff>
    </xdr:from>
    <xdr:to>
      <xdr:col>15</xdr:col>
      <xdr:colOff>327660</xdr:colOff>
      <xdr:row>37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14A917-2690-1069-BEAE-539BF38D7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</xdr:colOff>
      <xdr:row>39</xdr:row>
      <xdr:rowOff>22860</xdr:rowOff>
    </xdr:from>
    <xdr:to>
      <xdr:col>15</xdr:col>
      <xdr:colOff>312420</xdr:colOff>
      <xdr:row>54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8D9427-51D0-B5FF-209C-F16FF8EDA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655319</xdr:colOff>
      <xdr:row>0</xdr:row>
      <xdr:rowOff>156308</xdr:rowOff>
    </xdr:from>
    <xdr:to>
      <xdr:col>7</xdr:col>
      <xdr:colOff>234461</xdr:colOff>
      <xdr:row>21</xdr:row>
      <xdr:rowOff>130257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69844EF-E10B-3081-5765-ED1DB52D6D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1819" y="156308"/>
              <a:ext cx="4981722" cy="38144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4</xdr:row>
          <xdr:rowOff>22860</xdr:rowOff>
        </xdr:from>
        <xdr:to>
          <xdr:col>16</xdr:col>
          <xdr:colOff>502920</xdr:colOff>
          <xdr:row>7</xdr:row>
          <xdr:rowOff>137160</xdr:rowOff>
        </xdr:to>
        <xdr:sp macro="" textlink="">
          <xdr:nvSpPr>
            <xdr:cNvPr id="9230" name="Option Button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8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TOP 10 STUDENTS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190500</xdr:colOff>
          <xdr:row>7</xdr:row>
          <xdr:rowOff>152400</xdr:rowOff>
        </xdr:from>
        <xdr:to>
          <xdr:col>13</xdr:col>
          <xdr:colOff>563880</xdr:colOff>
          <xdr:row>10</xdr:row>
          <xdr:rowOff>0</xdr:rowOff>
        </xdr:to>
        <xdr:sp macro="" textlink="">
          <xdr:nvSpPr>
            <xdr:cNvPr id="9231" name="Option Button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8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BOTTOM 10 STUDENTS</a:t>
              </a:r>
            </a:p>
          </xdr:txBody>
        </xdr:sp>
        <xdr:clientData/>
      </xdr:twoCellAnchor>
    </mc:Choice>
    <mc:Fallback/>
  </mc:AlternateContent>
  <xdr:twoCellAnchor>
    <xdr:from>
      <xdr:col>13</xdr:col>
      <xdr:colOff>274320</xdr:colOff>
      <xdr:row>14</xdr:row>
      <xdr:rowOff>99060</xdr:rowOff>
    </xdr:from>
    <xdr:to>
      <xdr:col>20</xdr:col>
      <xdr:colOff>579120</xdr:colOff>
      <xdr:row>29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ED172-56A8-C28D-E200-FFC4B51A0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83820</xdr:rowOff>
    </xdr:from>
    <xdr:to>
      <xdr:col>15</xdr:col>
      <xdr:colOff>228600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9C4FA-89E6-5A86-1173-40C7143B9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464820</xdr:colOff>
      <xdr:row>5</xdr:row>
      <xdr:rowOff>144780</xdr:rowOff>
    </xdr:from>
    <xdr:to>
      <xdr:col>23</xdr:col>
      <xdr:colOff>160020</xdr:colOff>
      <xdr:row>20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B083F6-D3A5-6DE1-65B8-41C433853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349827</xdr:colOff>
      <xdr:row>22</xdr:row>
      <xdr:rowOff>20782</xdr:rowOff>
    </xdr:from>
    <xdr:to>
      <xdr:col>15</xdr:col>
      <xdr:colOff>45027</xdr:colOff>
      <xdr:row>37</xdr:row>
      <xdr:rowOff>62346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96C20E-F8FC-CF8B-7D7E-EC4C430D6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83820</xdr:rowOff>
    </xdr:from>
    <xdr:to>
      <xdr:col>15</xdr:col>
      <xdr:colOff>228600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A54FCF-BAE5-FC88-D6C3-0F6DBC905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</xdr:row>
      <xdr:rowOff>179042</xdr:rowOff>
    </xdr:from>
    <xdr:to>
      <xdr:col>7</xdr:col>
      <xdr:colOff>319720</xdr:colOff>
      <xdr:row>22</xdr:row>
      <xdr:rowOff>23445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683E8-C6EA-B119-2530-ED56010B6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2294B1-2645-4591-92B2-C7246EC51978}" autoFormatId="16" applyNumberFormats="0" applyBorderFormats="0" applyFontFormats="0" applyPatternFormats="0" applyAlignmentFormats="0" applyWidthHeightFormats="0">
  <queryTableRefresh nextId="12">
    <queryTableFields count="11">
      <queryTableField id="1" name="State" tableColumnId="1"/>
      <queryTableField id="2" name="ISO" tableColumnId="2"/>
      <queryTableField id="3" name="Vehiclecode" tableColumnId="3"/>
      <queryTableField id="4" name="Zone" tableColumnId="4"/>
      <queryTableField id="5" name="Capital" tableColumnId="5"/>
      <queryTableField id="6" name="Largest city" tableColumnId="6"/>
      <queryTableField id="7" name="Statehood" tableColumnId="7"/>
      <queryTableField id="8" name="Population(2011)[27][28]" tableColumnId="8"/>
      <queryTableField id="9" name="Area(km2)" tableColumnId="9"/>
      <queryTableField id="10" name="Officiallanguages[29]" tableColumnId="10"/>
      <queryTableField id="11" name="Additional officiallanguages[29]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FAB64-78AB-4A44-974B-B9FA49EA4272}" name="Table_5" displayName="Table_5" ref="A1:K30" tableType="queryTable" totalsRowShown="0">
  <autoFilter ref="A1:K30" xr:uid="{113FAB64-78AB-4A44-974B-B9FA49EA4272}"/>
  <tableColumns count="11">
    <tableColumn id="1" xr3:uid="{5B6284AE-C740-459B-90C2-B7CD8C316BD7}" uniqueName="1" name="State" queryTableFieldId="1" dataDxfId="10"/>
    <tableColumn id="2" xr3:uid="{860C7FD1-C79C-4C18-90A1-1A325AF8A450}" uniqueName="2" name="ISO" queryTableFieldId="2" dataDxfId="9"/>
    <tableColumn id="3" xr3:uid="{E2AD6359-5409-4531-957C-B5FE65F90536}" uniqueName="3" name="Vehiclecode" queryTableFieldId="3" dataDxfId="8"/>
    <tableColumn id="4" xr3:uid="{40C7A529-9E44-4857-B907-098284877993}" uniqueName="4" name="Zone" queryTableFieldId="4" dataDxfId="7"/>
    <tableColumn id="5" xr3:uid="{05013815-3FBF-4C38-8589-FFBB78D700BB}" uniqueName="5" name="Capital" queryTableFieldId="5" dataDxfId="6"/>
    <tableColumn id="6" xr3:uid="{62220082-45EC-47E0-9091-5FD3D75518F6}" uniqueName="6" name="Largest city" queryTableFieldId="6" dataDxfId="5"/>
    <tableColumn id="7" xr3:uid="{8E5423A2-07C3-4F53-974A-9F33EC5D840B}" uniqueName="7" name="Statehood" queryTableFieldId="7" dataDxfId="4"/>
    <tableColumn id="8" xr3:uid="{126A8C38-B3DB-42A6-B649-35178A7CC470}" uniqueName="8" name="Population(2011)[27][28]" queryTableFieldId="8" dataDxfId="3"/>
    <tableColumn id="9" xr3:uid="{EFC56112-0C9E-45C0-A563-A707EF5F1ABD}" uniqueName="9" name="Area(km2)" queryTableFieldId="9" dataDxfId="2"/>
    <tableColumn id="10" xr3:uid="{CFF72A62-18F6-4482-9A59-A7E27701683F}" uniqueName="10" name="Officiallanguages[29]" queryTableFieldId="10" dataDxfId="1"/>
    <tableColumn id="11" xr3:uid="{9847A499-2821-4A06-A13A-EE9DA6CA56B9}" uniqueName="11" name="Additional officiallanguages[29]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Relationship Id="rId4" Type="http://schemas.openxmlformats.org/officeDocument/2006/relationships/ctrlProp" Target="../ctrlProps/ctrlProp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9E97-8D17-4283-949D-59ECB943A78F}">
  <dimension ref="A1:J26"/>
  <sheetViews>
    <sheetView zoomScale="52" zoomScaleNormal="52" workbookViewId="0">
      <selection activeCell="B25" sqref="A21:D26"/>
    </sheetView>
  </sheetViews>
  <sheetFormatPr defaultRowHeight="15.6" x14ac:dyDescent="0.3"/>
  <cols>
    <col min="1" max="1" width="7.88671875" style="1" bestFit="1" customWidth="1"/>
    <col min="2" max="3" width="10.21875" style="1" bestFit="1" customWidth="1"/>
    <col min="4" max="4" width="10.44140625" style="1" bestFit="1" customWidth="1"/>
    <col min="5" max="16384" width="8.88671875" style="1"/>
  </cols>
  <sheetData>
    <row r="1" spans="1:10" x14ac:dyDescent="0.3">
      <c r="A1" s="3" t="s">
        <v>0</v>
      </c>
      <c r="B1" s="3" t="s">
        <v>1</v>
      </c>
    </row>
    <row r="2" spans="1:10" x14ac:dyDescent="0.3">
      <c r="A2" s="2" t="s">
        <v>2</v>
      </c>
      <c r="B2" s="2">
        <v>10</v>
      </c>
      <c r="J2" s="1" t="s">
        <v>7</v>
      </c>
    </row>
    <row r="3" spans="1:10" x14ac:dyDescent="0.3">
      <c r="A3" s="2" t="s">
        <v>3</v>
      </c>
      <c r="B3" s="2">
        <v>20</v>
      </c>
    </row>
    <row r="4" spans="1:10" x14ac:dyDescent="0.3">
      <c r="A4" s="2" t="s">
        <v>4</v>
      </c>
      <c r="B4" s="2">
        <v>30</v>
      </c>
    </row>
    <row r="5" spans="1:10" x14ac:dyDescent="0.3">
      <c r="A5" s="2" t="s">
        <v>5</v>
      </c>
      <c r="B5" s="2">
        <v>15</v>
      </c>
    </row>
    <row r="6" spans="1:10" x14ac:dyDescent="0.3">
      <c r="A6" s="2" t="s">
        <v>6</v>
      </c>
      <c r="B6" s="2">
        <v>25</v>
      </c>
    </row>
    <row r="20" spans="1:10" x14ac:dyDescent="0.3">
      <c r="J20" s="1" t="s">
        <v>17</v>
      </c>
    </row>
    <row r="21" spans="1:10" x14ac:dyDescent="0.3">
      <c r="A21" s="2" t="s">
        <v>8</v>
      </c>
      <c r="B21" s="2" t="s">
        <v>14</v>
      </c>
      <c r="C21" s="2" t="s">
        <v>15</v>
      </c>
      <c r="D21" s="2" t="s">
        <v>16</v>
      </c>
    </row>
    <row r="22" spans="1:10" x14ac:dyDescent="0.3">
      <c r="A22" s="2" t="s">
        <v>9</v>
      </c>
      <c r="B22" s="2">
        <v>10</v>
      </c>
      <c r="C22" s="2">
        <v>45</v>
      </c>
      <c r="D22" s="2">
        <v>78</v>
      </c>
    </row>
    <row r="23" spans="1:10" x14ac:dyDescent="0.3">
      <c r="A23" s="2" t="s">
        <v>10</v>
      </c>
      <c r="B23" s="2">
        <v>20</v>
      </c>
      <c r="C23" s="2">
        <v>78</v>
      </c>
      <c r="D23" s="2">
        <v>96</v>
      </c>
    </row>
    <row r="24" spans="1:10" x14ac:dyDescent="0.3">
      <c r="A24" s="2" t="s">
        <v>11</v>
      </c>
      <c r="B24" s="2">
        <v>30</v>
      </c>
      <c r="C24" s="2">
        <v>31</v>
      </c>
      <c r="D24" s="2">
        <v>45</v>
      </c>
    </row>
    <row r="25" spans="1:10" x14ac:dyDescent="0.3">
      <c r="A25" s="2" t="s">
        <v>12</v>
      </c>
      <c r="B25" s="2">
        <v>40</v>
      </c>
      <c r="C25" s="2">
        <v>66</v>
      </c>
      <c r="D25" s="2">
        <v>12</v>
      </c>
    </row>
    <row r="26" spans="1:10" x14ac:dyDescent="0.3">
      <c r="A26" s="2" t="s">
        <v>13</v>
      </c>
      <c r="B26" s="2">
        <v>50</v>
      </c>
      <c r="C26" s="2">
        <v>97</v>
      </c>
      <c r="D26" s="2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5DD0-0ADC-4A1D-ADAE-52DFD2D75325}">
  <dimension ref="A1:C28"/>
  <sheetViews>
    <sheetView topLeftCell="A17" zoomScale="131" workbookViewId="0">
      <selection activeCell="A38" sqref="A38:D49"/>
    </sheetView>
  </sheetViews>
  <sheetFormatPr defaultRowHeight="14.4" x14ac:dyDescent="0.3"/>
  <cols>
    <col min="1" max="1" width="10.21875" bestFit="1" customWidth="1"/>
    <col min="2" max="2" width="10" bestFit="1" customWidth="1"/>
    <col min="3" max="3" width="14.88671875" bestFit="1" customWidth="1"/>
  </cols>
  <sheetData>
    <row r="1" spans="1:2" ht="15.6" x14ac:dyDescent="0.3">
      <c r="A1" s="2" t="s">
        <v>18</v>
      </c>
      <c r="B1" s="2" t="s">
        <v>19</v>
      </c>
    </row>
    <row r="2" spans="1:2" ht="15.6" x14ac:dyDescent="0.3">
      <c r="A2" s="2" t="s">
        <v>20</v>
      </c>
      <c r="B2" s="2">
        <v>120000</v>
      </c>
    </row>
    <row r="3" spans="1:2" ht="15.6" x14ac:dyDescent="0.3">
      <c r="A3" s="2" t="s">
        <v>21</v>
      </c>
      <c r="B3" s="2">
        <v>65200</v>
      </c>
    </row>
    <row r="4" spans="1:2" ht="15.6" x14ac:dyDescent="0.3">
      <c r="A4" s="2" t="s">
        <v>22</v>
      </c>
      <c r="B4" s="2">
        <v>46520</v>
      </c>
    </row>
    <row r="5" spans="1:2" ht="15.6" x14ac:dyDescent="0.3">
      <c r="A5" s="2" t="s">
        <v>23</v>
      </c>
      <c r="B5" s="2">
        <v>45512</v>
      </c>
    </row>
    <row r="6" spans="1:2" ht="15.6" x14ac:dyDescent="0.3">
      <c r="A6" s="2" t="s">
        <v>24</v>
      </c>
      <c r="B6" s="2">
        <v>5541</v>
      </c>
    </row>
    <row r="7" spans="1:2" ht="15.6" x14ac:dyDescent="0.3">
      <c r="A7" s="2" t="s">
        <v>25</v>
      </c>
      <c r="B7" s="2">
        <v>12335</v>
      </c>
    </row>
    <row r="8" spans="1:2" ht="15.6" x14ac:dyDescent="0.3">
      <c r="A8" s="2" t="s">
        <v>26</v>
      </c>
      <c r="B8" s="2">
        <v>4112</v>
      </c>
    </row>
    <row r="19" spans="1:3" x14ac:dyDescent="0.3">
      <c r="A19" s="4" t="s">
        <v>27</v>
      </c>
      <c r="B19" s="4" t="s">
        <v>31</v>
      </c>
      <c r="C19" s="4" t="s">
        <v>32</v>
      </c>
    </row>
    <row r="20" spans="1:3" x14ac:dyDescent="0.3">
      <c r="A20" s="4" t="s">
        <v>28</v>
      </c>
      <c r="B20" s="4" t="s">
        <v>2</v>
      </c>
      <c r="C20" s="4">
        <v>1000</v>
      </c>
    </row>
    <row r="21" spans="1:3" x14ac:dyDescent="0.3">
      <c r="A21" s="4" t="s">
        <v>28</v>
      </c>
      <c r="B21" s="4" t="s">
        <v>3</v>
      </c>
      <c r="C21" s="4">
        <v>2000</v>
      </c>
    </row>
    <row r="22" spans="1:3" x14ac:dyDescent="0.3">
      <c r="A22" s="4" t="s">
        <v>28</v>
      </c>
      <c r="B22" s="4" t="s">
        <v>4</v>
      </c>
      <c r="C22" s="4">
        <v>2500</v>
      </c>
    </row>
    <row r="23" spans="1:3" x14ac:dyDescent="0.3">
      <c r="A23" s="4" t="s">
        <v>29</v>
      </c>
      <c r="B23" s="4" t="s">
        <v>2</v>
      </c>
      <c r="C23" s="4">
        <v>1400</v>
      </c>
    </row>
    <row r="24" spans="1:3" x14ac:dyDescent="0.3">
      <c r="A24" s="4" t="s">
        <v>29</v>
      </c>
      <c r="B24" s="4" t="s">
        <v>3</v>
      </c>
      <c r="C24" s="4">
        <v>1680</v>
      </c>
    </row>
    <row r="25" spans="1:3" x14ac:dyDescent="0.3">
      <c r="A25" s="4" t="s">
        <v>29</v>
      </c>
      <c r="B25" s="4" t="s">
        <v>4</v>
      </c>
      <c r="C25" s="4">
        <v>1247</v>
      </c>
    </row>
    <row r="26" spans="1:3" x14ac:dyDescent="0.3">
      <c r="A26" s="4" t="s">
        <v>30</v>
      </c>
      <c r="B26" s="4" t="s">
        <v>2</v>
      </c>
      <c r="C26" s="4">
        <v>950</v>
      </c>
    </row>
    <row r="27" spans="1:3" x14ac:dyDescent="0.3">
      <c r="A27" s="4" t="s">
        <v>30</v>
      </c>
      <c r="B27" s="4" t="s">
        <v>3</v>
      </c>
      <c r="C27" s="4">
        <v>785</v>
      </c>
    </row>
    <row r="28" spans="1:3" x14ac:dyDescent="0.3">
      <c r="A28" s="4" t="s">
        <v>30</v>
      </c>
      <c r="B28" s="4" t="s">
        <v>4</v>
      </c>
      <c r="C28" s="4">
        <v>746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30BD-E034-4DEB-85FE-254E0DC929D8}">
  <dimension ref="A1:Q11"/>
  <sheetViews>
    <sheetView workbookViewId="0">
      <selection activeCell="Q10" sqref="Q10"/>
    </sheetView>
  </sheetViews>
  <sheetFormatPr defaultRowHeight="14.4" x14ac:dyDescent="0.3"/>
  <cols>
    <col min="1" max="1" width="11.33203125" bestFit="1" customWidth="1"/>
    <col min="3" max="3" width="14.88671875" bestFit="1" customWidth="1"/>
  </cols>
  <sheetData>
    <row r="1" spans="1:17" x14ac:dyDescent="0.3">
      <c r="A1" t="s">
        <v>33</v>
      </c>
      <c r="B1" t="s">
        <v>34</v>
      </c>
    </row>
    <row r="2" spans="1:17" x14ac:dyDescent="0.3">
      <c r="A2" t="s">
        <v>20</v>
      </c>
      <c r="B2">
        <v>99</v>
      </c>
    </row>
    <row r="3" spans="1:17" x14ac:dyDescent="0.3">
      <c r="A3" t="s">
        <v>38</v>
      </c>
      <c r="B3">
        <v>96</v>
      </c>
    </row>
    <row r="4" spans="1:17" x14ac:dyDescent="0.3">
      <c r="A4" t="s">
        <v>22</v>
      </c>
      <c r="B4">
        <v>79</v>
      </c>
    </row>
    <row r="5" spans="1:17" x14ac:dyDescent="0.3">
      <c r="A5" t="s">
        <v>39</v>
      </c>
      <c r="B5">
        <v>78</v>
      </c>
    </row>
    <row r="6" spans="1:17" x14ac:dyDescent="0.3">
      <c r="A6" t="s">
        <v>25</v>
      </c>
      <c r="B6">
        <v>78</v>
      </c>
    </row>
    <row r="7" spans="1:17" x14ac:dyDescent="0.3">
      <c r="A7" t="s">
        <v>37</v>
      </c>
      <c r="B7">
        <v>78</v>
      </c>
    </row>
    <row r="8" spans="1:17" x14ac:dyDescent="0.3">
      <c r="A8" t="s">
        <v>21</v>
      </c>
      <c r="B8">
        <v>56</v>
      </c>
    </row>
    <row r="9" spans="1:17" x14ac:dyDescent="0.3">
      <c r="A9" t="s">
        <v>40</v>
      </c>
      <c r="B9">
        <v>56</v>
      </c>
      <c r="Q9" t="s">
        <v>45</v>
      </c>
    </row>
    <row r="10" spans="1:17" x14ac:dyDescent="0.3">
      <c r="A10" t="s">
        <v>36</v>
      </c>
      <c r="B10">
        <v>46</v>
      </c>
    </row>
    <row r="11" spans="1:17" x14ac:dyDescent="0.3">
      <c r="A11" t="s">
        <v>35</v>
      </c>
      <c r="B11">
        <v>13</v>
      </c>
    </row>
  </sheetData>
  <sortState xmlns:xlrd2="http://schemas.microsoft.com/office/spreadsheetml/2017/richdata2" ref="A2:B11">
    <sortCondition descending="1" ref="B2:B1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F2245-920E-4CF8-B398-776D3B1A4F39}">
  <dimension ref="A1:B11"/>
  <sheetViews>
    <sheetView workbookViewId="0">
      <selection activeCell="A2" sqref="A2:A11"/>
    </sheetView>
  </sheetViews>
  <sheetFormatPr defaultRowHeight="14.4" x14ac:dyDescent="0.3"/>
  <sheetData>
    <row r="1" spans="1:2" x14ac:dyDescent="0.3">
      <c r="A1" t="s">
        <v>8</v>
      </c>
      <c r="B1" t="s">
        <v>41</v>
      </c>
    </row>
    <row r="2" spans="1:2" x14ac:dyDescent="0.3">
      <c r="A2" t="s">
        <v>9</v>
      </c>
      <c r="B2">
        <v>250</v>
      </c>
    </row>
    <row r="3" spans="1:2" x14ac:dyDescent="0.3">
      <c r="A3" t="s">
        <v>10</v>
      </c>
      <c r="B3">
        <v>178</v>
      </c>
    </row>
    <row r="4" spans="1:2" x14ac:dyDescent="0.3">
      <c r="A4" t="s">
        <v>11</v>
      </c>
      <c r="B4">
        <v>785</v>
      </c>
    </row>
    <row r="5" spans="1:2" x14ac:dyDescent="0.3">
      <c r="A5" t="s">
        <v>12</v>
      </c>
      <c r="B5">
        <v>-963</v>
      </c>
    </row>
    <row r="6" spans="1:2" x14ac:dyDescent="0.3">
      <c r="A6" t="s">
        <v>46</v>
      </c>
      <c r="B6">
        <v>785</v>
      </c>
    </row>
    <row r="7" spans="1:2" x14ac:dyDescent="0.3">
      <c r="A7" t="s">
        <v>48</v>
      </c>
      <c r="B7">
        <v>123</v>
      </c>
    </row>
    <row r="8" spans="1:2" x14ac:dyDescent="0.3">
      <c r="A8" t="s">
        <v>13</v>
      </c>
      <c r="B8">
        <v>554</v>
      </c>
    </row>
    <row r="9" spans="1:2" x14ac:dyDescent="0.3">
      <c r="A9" t="s">
        <v>47</v>
      </c>
      <c r="B9">
        <v>963</v>
      </c>
    </row>
    <row r="10" spans="1:2" x14ac:dyDescent="0.3">
      <c r="A10" t="s">
        <v>13</v>
      </c>
      <c r="B10">
        <v>456</v>
      </c>
    </row>
    <row r="11" spans="1:2" x14ac:dyDescent="0.3">
      <c r="A11" t="s">
        <v>49</v>
      </c>
      <c r="B11">
        <v>123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D314-881B-40E9-9B79-1FB7A6906AB9}">
  <dimension ref="A1:C11"/>
  <sheetViews>
    <sheetView zoomScale="102" workbookViewId="0">
      <selection activeCell="G41" sqref="G41"/>
    </sheetView>
  </sheetViews>
  <sheetFormatPr defaultRowHeight="14.4" x14ac:dyDescent="0.3"/>
  <cols>
    <col min="1" max="1" width="14.88671875" bestFit="1" customWidth="1"/>
  </cols>
  <sheetData>
    <row r="1" spans="1:3" x14ac:dyDescent="0.3">
      <c r="A1" t="s">
        <v>42</v>
      </c>
      <c r="B1" t="s">
        <v>32</v>
      </c>
      <c r="C1" t="s">
        <v>41</v>
      </c>
    </row>
    <row r="2" spans="1:3" x14ac:dyDescent="0.3">
      <c r="A2" s="5">
        <v>37849</v>
      </c>
      <c r="B2">
        <v>7895</v>
      </c>
      <c r="C2">
        <v>-895</v>
      </c>
    </row>
    <row r="3" spans="1:3" x14ac:dyDescent="0.3">
      <c r="A3" s="5">
        <v>38182</v>
      </c>
      <c r="B3">
        <v>7858</v>
      </c>
      <c r="C3">
        <v>758</v>
      </c>
    </row>
    <row r="4" spans="1:3" x14ac:dyDescent="0.3">
      <c r="A4" s="5">
        <v>38913</v>
      </c>
      <c r="B4">
        <v>5638</v>
      </c>
      <c r="C4">
        <v>45</v>
      </c>
    </row>
    <row r="5" spans="1:3" x14ac:dyDescent="0.3">
      <c r="A5" s="5">
        <v>39526</v>
      </c>
      <c r="B5">
        <v>456</v>
      </c>
      <c r="C5">
        <v>78</v>
      </c>
    </row>
    <row r="6" spans="1:3" x14ac:dyDescent="0.3">
      <c r="A6" s="5">
        <v>39332</v>
      </c>
      <c r="B6">
        <v>1599</v>
      </c>
      <c r="C6">
        <v>-96</v>
      </c>
    </row>
    <row r="7" spans="1:3" x14ac:dyDescent="0.3">
      <c r="A7" s="5">
        <v>39909</v>
      </c>
      <c r="B7">
        <v>7466</v>
      </c>
      <c r="C7">
        <v>45</v>
      </c>
    </row>
    <row r="8" spans="1:3" x14ac:dyDescent="0.3">
      <c r="A8" s="5">
        <v>39455</v>
      </c>
      <c r="B8">
        <v>1563</v>
      </c>
      <c r="C8">
        <v>-25</v>
      </c>
    </row>
    <row r="9" spans="1:3" x14ac:dyDescent="0.3">
      <c r="A9" s="5">
        <v>42599</v>
      </c>
      <c r="B9">
        <v>7777</v>
      </c>
      <c r="C9">
        <v>45</v>
      </c>
    </row>
    <row r="10" spans="1:3" x14ac:dyDescent="0.3">
      <c r="A10" s="5">
        <v>39343</v>
      </c>
      <c r="B10">
        <v>5565</v>
      </c>
      <c r="C10">
        <v>96</v>
      </c>
    </row>
    <row r="11" spans="1:3" x14ac:dyDescent="0.3">
      <c r="A11" s="5">
        <v>43150</v>
      </c>
      <c r="B11">
        <v>4555</v>
      </c>
      <c r="C11">
        <v>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CB7D-8153-4FD9-AFF3-A9FF643B9071}">
  <dimension ref="A1:O18"/>
  <sheetViews>
    <sheetView topLeftCell="G1" workbookViewId="0">
      <selection sqref="A1:C5"/>
    </sheetView>
  </sheetViews>
  <sheetFormatPr defaultRowHeight="14.4" x14ac:dyDescent="0.3"/>
  <sheetData>
    <row r="1" spans="1:3" x14ac:dyDescent="0.3">
      <c r="A1" t="s">
        <v>27</v>
      </c>
      <c r="B1" t="s">
        <v>32</v>
      </c>
      <c r="C1" t="s">
        <v>41</v>
      </c>
    </row>
    <row r="2" spans="1:3" x14ac:dyDescent="0.3">
      <c r="A2" t="s">
        <v>28</v>
      </c>
      <c r="B2">
        <v>7855</v>
      </c>
      <c r="C2">
        <v>456</v>
      </c>
    </row>
    <row r="3" spans="1:3" x14ac:dyDescent="0.3">
      <c r="A3" t="s">
        <v>29</v>
      </c>
      <c r="B3">
        <v>7896</v>
      </c>
      <c r="C3">
        <v>511</v>
      </c>
    </row>
    <row r="4" spans="1:3" x14ac:dyDescent="0.3">
      <c r="A4" t="s">
        <v>43</v>
      </c>
      <c r="B4">
        <v>7456</v>
      </c>
      <c r="C4">
        <v>661</v>
      </c>
    </row>
    <row r="5" spans="1:3" x14ac:dyDescent="0.3">
      <c r="A5" t="s">
        <v>30</v>
      </c>
      <c r="B5">
        <v>7892</v>
      </c>
      <c r="C5">
        <v>789</v>
      </c>
    </row>
    <row r="18" spans="15:15" x14ac:dyDescent="0.3">
      <c r="O18" t="s">
        <v>44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E320-D81F-4F13-A51D-1FA6C045A87D}">
  <dimension ref="A1:C5"/>
  <sheetViews>
    <sheetView workbookViewId="0">
      <selection sqref="A1:C5"/>
    </sheetView>
  </sheetViews>
  <sheetFormatPr defaultRowHeight="14.4" x14ac:dyDescent="0.3"/>
  <sheetData>
    <row r="1" spans="1:3" x14ac:dyDescent="0.3">
      <c r="A1" t="s">
        <v>27</v>
      </c>
      <c r="B1" t="s">
        <v>32</v>
      </c>
      <c r="C1" t="s">
        <v>41</v>
      </c>
    </row>
    <row r="2" spans="1:3" x14ac:dyDescent="0.3">
      <c r="A2" t="s">
        <v>28</v>
      </c>
      <c r="B2">
        <v>7855</v>
      </c>
      <c r="C2">
        <v>456</v>
      </c>
    </row>
    <row r="3" spans="1:3" x14ac:dyDescent="0.3">
      <c r="A3" t="s">
        <v>29</v>
      </c>
      <c r="B3">
        <v>7896</v>
      </c>
      <c r="C3">
        <v>511</v>
      </c>
    </row>
    <row r="4" spans="1:3" x14ac:dyDescent="0.3">
      <c r="A4" t="s">
        <v>43</v>
      </c>
      <c r="B4">
        <v>7456</v>
      </c>
      <c r="C4">
        <v>661</v>
      </c>
    </row>
    <row r="5" spans="1:3" x14ac:dyDescent="0.3">
      <c r="A5" t="s">
        <v>30</v>
      </c>
      <c r="B5">
        <v>7892</v>
      </c>
      <c r="C5">
        <v>789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1D0-58EA-49AC-88B1-B328AF220ADF}">
  <dimension ref="A1:K30"/>
  <sheetViews>
    <sheetView topLeftCell="J1" zoomScale="117" workbookViewId="0">
      <selection activeCell="H19" sqref="H19"/>
    </sheetView>
  </sheetViews>
  <sheetFormatPr defaultRowHeight="14.4" x14ac:dyDescent="0.3"/>
  <cols>
    <col min="1" max="1" width="16.33203125" bestFit="1" customWidth="1"/>
    <col min="2" max="2" width="6.21875" bestFit="1" customWidth="1"/>
    <col min="3" max="3" width="13.5546875" bestFit="1" customWidth="1"/>
    <col min="4" max="4" width="12.33203125" bestFit="1" customWidth="1"/>
    <col min="5" max="5" width="36.88671875" bestFit="1" customWidth="1"/>
    <col min="6" max="6" width="17.77734375" bestFit="1" customWidth="1"/>
    <col min="7" max="7" width="11.77734375" bestFit="1" customWidth="1"/>
    <col min="8" max="8" width="24.109375" bestFit="1" customWidth="1"/>
    <col min="9" max="9" width="12" bestFit="1" customWidth="1"/>
    <col min="10" max="10" width="32.21875" bestFit="1" customWidth="1"/>
    <col min="11" max="11" width="80.88671875" bestFit="1" customWidth="1"/>
  </cols>
  <sheetData>
    <row r="1" spans="1:11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</row>
    <row r="2" spans="1:11" x14ac:dyDescent="0.3">
      <c r="A2" s="6" t="s">
        <v>61</v>
      </c>
      <c r="B2" s="6" t="s">
        <v>62</v>
      </c>
      <c r="C2" s="6" t="s">
        <v>63</v>
      </c>
      <c r="D2" s="6" t="s">
        <v>64</v>
      </c>
      <c r="E2" s="6" t="s">
        <v>65</v>
      </c>
      <c r="F2" s="6" t="s">
        <v>66</v>
      </c>
      <c r="G2" s="5">
        <v>20760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3">
      <c r="A3" s="6" t="s">
        <v>71</v>
      </c>
      <c r="B3" s="6" t="s">
        <v>72</v>
      </c>
      <c r="C3" s="6" t="s">
        <v>73</v>
      </c>
      <c r="D3" s="6" t="s">
        <v>74</v>
      </c>
      <c r="E3" s="6" t="s">
        <v>75</v>
      </c>
      <c r="F3" s="6" t="s">
        <v>75</v>
      </c>
      <c r="G3" s="5">
        <v>31828</v>
      </c>
      <c r="H3" s="6" t="s">
        <v>76</v>
      </c>
      <c r="I3" s="6" t="s">
        <v>77</v>
      </c>
      <c r="J3" s="6" t="s">
        <v>78</v>
      </c>
      <c r="K3" s="6" t="s">
        <v>79</v>
      </c>
    </row>
    <row r="4" spans="1:11" x14ac:dyDescent="0.3">
      <c r="A4" s="6" t="s">
        <v>80</v>
      </c>
      <c r="B4" s="6" t="s">
        <v>81</v>
      </c>
      <c r="C4" s="6" t="s">
        <v>82</v>
      </c>
      <c r="D4" s="6" t="s">
        <v>74</v>
      </c>
      <c r="E4" s="6" t="s">
        <v>83</v>
      </c>
      <c r="F4" s="6" t="s">
        <v>84</v>
      </c>
      <c r="G4" s="5">
        <v>18289</v>
      </c>
      <c r="H4" s="6" t="s">
        <v>85</v>
      </c>
      <c r="I4" s="6" t="s">
        <v>86</v>
      </c>
      <c r="J4" s="6" t="s">
        <v>87</v>
      </c>
      <c r="K4" s="6" t="s">
        <v>88</v>
      </c>
    </row>
    <row r="5" spans="1:11" x14ac:dyDescent="0.3">
      <c r="A5" s="6" t="s">
        <v>89</v>
      </c>
      <c r="B5" s="6" t="s">
        <v>90</v>
      </c>
      <c r="C5" s="6" t="s">
        <v>91</v>
      </c>
      <c r="D5" s="6" t="s">
        <v>92</v>
      </c>
      <c r="E5" s="6" t="s">
        <v>93</v>
      </c>
      <c r="F5" s="6" t="s">
        <v>93</v>
      </c>
      <c r="G5" s="5">
        <v>18289</v>
      </c>
      <c r="H5" s="6" t="s">
        <v>94</v>
      </c>
      <c r="I5" s="6" t="s">
        <v>95</v>
      </c>
      <c r="J5" s="6" t="s">
        <v>96</v>
      </c>
      <c r="K5" s="6" t="s">
        <v>97</v>
      </c>
    </row>
    <row r="6" spans="1:11" x14ac:dyDescent="0.3">
      <c r="A6" s="6" t="s">
        <v>98</v>
      </c>
      <c r="B6" s="6" t="s">
        <v>99</v>
      </c>
      <c r="C6" s="6" t="s">
        <v>100</v>
      </c>
      <c r="D6" s="6" t="s">
        <v>101</v>
      </c>
      <c r="E6" s="6" t="s">
        <v>102</v>
      </c>
      <c r="F6" s="6" t="s">
        <v>102</v>
      </c>
      <c r="G6" s="5">
        <v>36831</v>
      </c>
      <c r="H6" s="6" t="s">
        <v>103</v>
      </c>
      <c r="I6" s="6" t="s">
        <v>104</v>
      </c>
      <c r="J6" s="6" t="s">
        <v>96</v>
      </c>
      <c r="K6" s="6" t="s">
        <v>105</v>
      </c>
    </row>
    <row r="7" spans="1:11" x14ac:dyDescent="0.3">
      <c r="A7" s="6" t="s">
        <v>106</v>
      </c>
      <c r="B7" s="6" t="s">
        <v>107</v>
      </c>
      <c r="C7" s="6" t="s">
        <v>108</v>
      </c>
      <c r="D7" s="6" t="s">
        <v>109</v>
      </c>
      <c r="E7" s="6" t="s">
        <v>110</v>
      </c>
      <c r="F7" s="6" t="s">
        <v>111</v>
      </c>
      <c r="G7" s="5">
        <v>31927</v>
      </c>
      <c r="H7" s="6" t="s">
        <v>112</v>
      </c>
      <c r="I7" s="6" t="s">
        <v>113</v>
      </c>
      <c r="J7" s="6" t="s">
        <v>114</v>
      </c>
      <c r="K7" s="6" t="s">
        <v>115</v>
      </c>
    </row>
    <row r="8" spans="1:11" x14ac:dyDescent="0.3">
      <c r="A8" s="6" t="s">
        <v>116</v>
      </c>
      <c r="B8" s="6" t="s">
        <v>117</v>
      </c>
      <c r="C8" s="6" t="s">
        <v>118</v>
      </c>
      <c r="D8" s="6" t="s">
        <v>109</v>
      </c>
      <c r="E8" s="6" t="s">
        <v>119</v>
      </c>
      <c r="F8" s="6" t="s">
        <v>120</v>
      </c>
      <c r="G8" s="5">
        <v>22037</v>
      </c>
      <c r="H8" s="6" t="s">
        <v>121</v>
      </c>
      <c r="I8" s="6" t="s">
        <v>122</v>
      </c>
      <c r="J8" s="6" t="s">
        <v>123</v>
      </c>
      <c r="K8" s="6" t="s">
        <v>79</v>
      </c>
    </row>
    <row r="9" spans="1:11" x14ac:dyDescent="0.3">
      <c r="A9" s="6" t="s">
        <v>124</v>
      </c>
      <c r="B9" s="6" t="s">
        <v>125</v>
      </c>
      <c r="C9" s="6" t="s">
        <v>126</v>
      </c>
      <c r="D9" s="6" t="s">
        <v>127</v>
      </c>
      <c r="E9" s="6" t="s">
        <v>128</v>
      </c>
      <c r="F9" s="6" t="s">
        <v>129</v>
      </c>
      <c r="G9" s="5">
        <v>24412</v>
      </c>
      <c r="H9" s="6" t="s">
        <v>130</v>
      </c>
      <c r="I9" s="6" t="s">
        <v>131</v>
      </c>
      <c r="J9" s="6" t="s">
        <v>96</v>
      </c>
      <c r="K9" s="6" t="s">
        <v>132</v>
      </c>
    </row>
    <row r="10" spans="1:11" x14ac:dyDescent="0.3">
      <c r="A10" s="6" t="s">
        <v>133</v>
      </c>
      <c r="B10" s="6" t="s">
        <v>134</v>
      </c>
      <c r="C10" s="6" t="s">
        <v>135</v>
      </c>
      <c r="D10" s="6" t="s">
        <v>127</v>
      </c>
      <c r="E10" s="6" t="s">
        <v>136</v>
      </c>
      <c r="F10" s="6" t="s">
        <v>137</v>
      </c>
      <c r="G10" s="5">
        <v>25958</v>
      </c>
      <c r="H10" s="6" t="s">
        <v>138</v>
      </c>
      <c r="I10" s="6" t="s">
        <v>139</v>
      </c>
      <c r="J10" s="6" t="s">
        <v>96</v>
      </c>
      <c r="K10" s="6" t="s">
        <v>140</v>
      </c>
    </row>
    <row r="11" spans="1:11" x14ac:dyDescent="0.3">
      <c r="A11" s="6" t="s">
        <v>141</v>
      </c>
      <c r="B11" s="6" t="s">
        <v>142</v>
      </c>
      <c r="C11" s="6" t="s">
        <v>143</v>
      </c>
      <c r="D11" s="6" t="s">
        <v>92</v>
      </c>
      <c r="E11" s="6" t="s">
        <v>144</v>
      </c>
      <c r="F11" s="6" t="s">
        <v>145</v>
      </c>
      <c r="G11" s="5">
        <v>36845</v>
      </c>
      <c r="H11" s="6" t="s">
        <v>146</v>
      </c>
      <c r="I11" s="6" t="s">
        <v>147</v>
      </c>
      <c r="J11" s="6" t="s">
        <v>96</v>
      </c>
      <c r="K11" s="6" t="s">
        <v>148</v>
      </c>
    </row>
    <row r="12" spans="1:11" x14ac:dyDescent="0.3">
      <c r="A12" s="6" t="s">
        <v>149</v>
      </c>
      <c r="B12" s="6" t="s">
        <v>150</v>
      </c>
      <c r="C12" s="6" t="s">
        <v>151</v>
      </c>
      <c r="D12" s="6" t="s">
        <v>64</v>
      </c>
      <c r="E12" s="6" t="s">
        <v>152</v>
      </c>
      <c r="F12" s="6" t="s">
        <v>152</v>
      </c>
      <c r="G12" s="5">
        <v>20760</v>
      </c>
      <c r="H12" s="6" t="s">
        <v>153</v>
      </c>
      <c r="I12" s="6" t="s">
        <v>154</v>
      </c>
      <c r="J12" s="6" t="s">
        <v>155</v>
      </c>
      <c r="K12" s="6" t="s">
        <v>79</v>
      </c>
    </row>
    <row r="13" spans="1:11" x14ac:dyDescent="0.3">
      <c r="A13" s="6" t="s">
        <v>156</v>
      </c>
      <c r="B13" s="6" t="s">
        <v>157</v>
      </c>
      <c r="C13" s="6" t="s">
        <v>158</v>
      </c>
      <c r="D13" s="6" t="s">
        <v>64</v>
      </c>
      <c r="E13" s="6" t="s">
        <v>159</v>
      </c>
      <c r="F13" s="6" t="s">
        <v>159</v>
      </c>
      <c r="G13" s="5">
        <v>20760</v>
      </c>
      <c r="H13" s="6" t="s">
        <v>160</v>
      </c>
      <c r="I13" s="6" t="s">
        <v>161</v>
      </c>
      <c r="J13" s="6" t="s">
        <v>162</v>
      </c>
      <c r="K13" s="6" t="s">
        <v>163</v>
      </c>
    </row>
    <row r="14" spans="1:11" x14ac:dyDescent="0.3">
      <c r="A14" s="6" t="s">
        <v>164</v>
      </c>
      <c r="B14" s="6" t="s">
        <v>165</v>
      </c>
      <c r="C14" s="6" t="s">
        <v>166</v>
      </c>
      <c r="D14" s="6" t="s">
        <v>101</v>
      </c>
      <c r="E14" s="6" t="s">
        <v>167</v>
      </c>
      <c r="F14" s="6" t="s">
        <v>168</v>
      </c>
      <c r="G14" s="5">
        <v>20760</v>
      </c>
      <c r="H14" s="6" t="s">
        <v>169</v>
      </c>
      <c r="I14" s="6" t="s">
        <v>170</v>
      </c>
      <c r="J14" s="6" t="s">
        <v>96</v>
      </c>
      <c r="K14" s="6" t="s">
        <v>79</v>
      </c>
    </row>
    <row r="15" spans="1:11" x14ac:dyDescent="0.3">
      <c r="A15" s="6" t="s">
        <v>171</v>
      </c>
      <c r="B15" s="6" t="s">
        <v>172</v>
      </c>
      <c r="C15" s="6" t="s">
        <v>173</v>
      </c>
      <c r="D15" s="6" t="s">
        <v>109</v>
      </c>
      <c r="E15" s="6" t="s">
        <v>174</v>
      </c>
      <c r="F15" s="6" t="s">
        <v>175</v>
      </c>
      <c r="G15" s="5">
        <v>22037</v>
      </c>
      <c r="H15" s="6" t="s">
        <v>176</v>
      </c>
      <c r="I15" s="6" t="s">
        <v>177</v>
      </c>
      <c r="J15" s="6" t="s">
        <v>115</v>
      </c>
      <c r="K15" s="6" t="s">
        <v>79</v>
      </c>
    </row>
    <row r="16" spans="1:11" x14ac:dyDescent="0.3">
      <c r="A16" s="6" t="s">
        <v>178</v>
      </c>
      <c r="B16" s="6" t="s">
        <v>179</v>
      </c>
      <c r="C16" s="6" t="s">
        <v>180</v>
      </c>
      <c r="D16" s="6" t="s">
        <v>74</v>
      </c>
      <c r="E16" s="6" t="s">
        <v>181</v>
      </c>
      <c r="F16" s="6" t="s">
        <v>181</v>
      </c>
      <c r="G16" s="5">
        <v>26319</v>
      </c>
      <c r="H16" s="6" t="s">
        <v>182</v>
      </c>
      <c r="I16" s="6" t="s">
        <v>183</v>
      </c>
      <c r="J16" s="6" t="s">
        <v>184</v>
      </c>
      <c r="K16" s="6" t="s">
        <v>78</v>
      </c>
    </row>
    <row r="17" spans="1:11" x14ac:dyDescent="0.3">
      <c r="A17" s="6" t="s">
        <v>185</v>
      </c>
      <c r="B17" s="6" t="s">
        <v>186</v>
      </c>
      <c r="C17" s="6" t="s">
        <v>187</v>
      </c>
      <c r="D17" s="6" t="s">
        <v>74</v>
      </c>
      <c r="E17" s="6" t="s">
        <v>188</v>
      </c>
      <c r="F17" s="6" t="s">
        <v>188</v>
      </c>
      <c r="G17" s="5">
        <v>26319</v>
      </c>
      <c r="H17" s="6" t="s">
        <v>189</v>
      </c>
      <c r="I17" s="6" t="s">
        <v>190</v>
      </c>
      <c r="J17" s="6" t="s">
        <v>78</v>
      </c>
      <c r="K17" s="6" t="s">
        <v>79</v>
      </c>
    </row>
    <row r="18" spans="1:11" x14ac:dyDescent="0.3">
      <c r="A18" s="6" t="s">
        <v>191</v>
      </c>
      <c r="B18" s="6" t="s">
        <v>192</v>
      </c>
      <c r="C18" s="6" t="s">
        <v>193</v>
      </c>
      <c r="D18" s="6" t="s">
        <v>74</v>
      </c>
      <c r="E18" s="6" t="s">
        <v>194</v>
      </c>
      <c r="F18" s="6" t="s">
        <v>194</v>
      </c>
      <c r="G18" s="5">
        <v>31828</v>
      </c>
      <c r="H18" s="6" t="s">
        <v>195</v>
      </c>
      <c r="I18" s="6" t="s">
        <v>196</v>
      </c>
      <c r="J18" s="6" t="s">
        <v>197</v>
      </c>
      <c r="K18" s="6" t="s">
        <v>79</v>
      </c>
    </row>
    <row r="19" spans="1:11" x14ac:dyDescent="0.3">
      <c r="A19" s="6" t="s">
        <v>198</v>
      </c>
      <c r="B19" s="6" t="s">
        <v>199</v>
      </c>
      <c r="C19" s="6" t="s">
        <v>200</v>
      </c>
      <c r="D19" s="6" t="s">
        <v>74</v>
      </c>
      <c r="E19" s="6" t="s">
        <v>201</v>
      </c>
      <c r="F19" s="6" t="s">
        <v>202</v>
      </c>
      <c r="G19" s="5">
        <v>23346</v>
      </c>
      <c r="H19" s="6" t="s">
        <v>203</v>
      </c>
      <c r="I19" s="6" t="s">
        <v>204</v>
      </c>
      <c r="J19" s="6" t="s">
        <v>78</v>
      </c>
      <c r="K19" s="6" t="s">
        <v>79</v>
      </c>
    </row>
    <row r="20" spans="1:11" x14ac:dyDescent="0.3">
      <c r="A20" s="6" t="s">
        <v>205</v>
      </c>
      <c r="B20" s="6" t="s">
        <v>206</v>
      </c>
      <c r="C20" s="6" t="s">
        <v>207</v>
      </c>
      <c r="D20" s="6" t="s">
        <v>92</v>
      </c>
      <c r="E20" s="6" t="s">
        <v>208</v>
      </c>
      <c r="F20" s="6" t="s">
        <v>208</v>
      </c>
      <c r="G20" s="5">
        <v>18289</v>
      </c>
      <c r="H20" s="6" t="s">
        <v>209</v>
      </c>
      <c r="I20" s="6" t="s">
        <v>210</v>
      </c>
      <c r="J20" s="6" t="s">
        <v>211</v>
      </c>
      <c r="K20" s="6" t="s">
        <v>79</v>
      </c>
    </row>
    <row r="21" spans="1:11" x14ac:dyDescent="0.3">
      <c r="A21" s="6" t="s">
        <v>212</v>
      </c>
      <c r="B21" s="6" t="s">
        <v>213</v>
      </c>
      <c r="C21" s="6" t="s">
        <v>214</v>
      </c>
      <c r="D21" s="6" t="s">
        <v>127</v>
      </c>
      <c r="E21" s="6" t="s">
        <v>128</v>
      </c>
      <c r="F21" s="6" t="s">
        <v>215</v>
      </c>
      <c r="G21" s="5">
        <v>24412</v>
      </c>
      <c r="H21" s="6" t="s">
        <v>216</v>
      </c>
      <c r="I21" s="6" t="s">
        <v>217</v>
      </c>
      <c r="J21" s="6" t="s">
        <v>218</v>
      </c>
      <c r="K21" s="6" t="s">
        <v>79</v>
      </c>
    </row>
    <row r="22" spans="1:11" x14ac:dyDescent="0.3">
      <c r="A22" s="6" t="s">
        <v>219</v>
      </c>
      <c r="B22" s="6" t="s">
        <v>220</v>
      </c>
      <c r="C22" s="6" t="s">
        <v>221</v>
      </c>
      <c r="D22" s="6" t="s">
        <v>127</v>
      </c>
      <c r="E22" s="6" t="s">
        <v>222</v>
      </c>
      <c r="F22" s="6" t="s">
        <v>222</v>
      </c>
      <c r="G22" s="5">
        <v>18289</v>
      </c>
      <c r="H22" s="6" t="s">
        <v>223</v>
      </c>
      <c r="I22" s="6" t="s">
        <v>224</v>
      </c>
      <c r="J22" s="6" t="s">
        <v>96</v>
      </c>
      <c r="K22" s="6" t="s">
        <v>78</v>
      </c>
    </row>
    <row r="23" spans="1:11" x14ac:dyDescent="0.3">
      <c r="A23" s="6" t="s">
        <v>225</v>
      </c>
      <c r="B23" s="6" t="s">
        <v>226</v>
      </c>
      <c r="C23" s="6" t="s">
        <v>227</v>
      </c>
      <c r="D23" s="6" t="s">
        <v>74</v>
      </c>
      <c r="E23" s="6" t="s">
        <v>228</v>
      </c>
      <c r="F23" s="6" t="s">
        <v>228</v>
      </c>
      <c r="G23" s="5">
        <v>27530</v>
      </c>
      <c r="H23" s="6" t="s">
        <v>229</v>
      </c>
      <c r="I23" s="6" t="s">
        <v>230</v>
      </c>
      <c r="J23" s="6" t="s">
        <v>231</v>
      </c>
      <c r="K23" s="6" t="s">
        <v>232</v>
      </c>
    </row>
    <row r="24" spans="1:11" x14ac:dyDescent="0.3">
      <c r="A24" s="6" t="s">
        <v>233</v>
      </c>
      <c r="B24" s="6" t="s">
        <v>234</v>
      </c>
      <c r="C24" s="6" t="s">
        <v>235</v>
      </c>
      <c r="D24" s="6" t="s">
        <v>64</v>
      </c>
      <c r="E24" s="6" t="s">
        <v>236</v>
      </c>
      <c r="F24" s="6" t="s">
        <v>236</v>
      </c>
      <c r="G24" s="5">
        <v>20760</v>
      </c>
      <c r="H24" s="6" t="s">
        <v>237</v>
      </c>
      <c r="I24" s="6" t="s">
        <v>238</v>
      </c>
      <c r="J24" s="6" t="s">
        <v>239</v>
      </c>
      <c r="K24" s="6" t="s">
        <v>78</v>
      </c>
    </row>
    <row r="25" spans="1:11" x14ac:dyDescent="0.3">
      <c r="A25" s="6" t="s">
        <v>240</v>
      </c>
      <c r="B25" s="6" t="s">
        <v>241</v>
      </c>
      <c r="C25" s="6" t="s">
        <v>242</v>
      </c>
      <c r="D25" s="6" t="s">
        <v>64</v>
      </c>
      <c r="E25" s="6" t="s">
        <v>243</v>
      </c>
      <c r="F25" s="6" t="s">
        <v>243</v>
      </c>
      <c r="G25" s="5">
        <v>41792</v>
      </c>
      <c r="H25" s="6" t="s">
        <v>244</v>
      </c>
      <c r="I25" s="6" t="s">
        <v>245</v>
      </c>
      <c r="J25" s="6" t="s">
        <v>69</v>
      </c>
      <c r="K25" s="6" t="s">
        <v>246</v>
      </c>
    </row>
    <row r="26" spans="1:11" x14ac:dyDescent="0.3">
      <c r="A26" s="6" t="s">
        <v>247</v>
      </c>
      <c r="B26" s="6" t="s">
        <v>248</v>
      </c>
      <c r="C26" s="6" t="s">
        <v>249</v>
      </c>
      <c r="D26" s="6" t="s">
        <v>74</v>
      </c>
      <c r="E26" s="6" t="s">
        <v>250</v>
      </c>
      <c r="F26" s="6" t="s">
        <v>250</v>
      </c>
      <c r="G26" s="5">
        <v>26319</v>
      </c>
      <c r="H26" s="6" t="s">
        <v>251</v>
      </c>
      <c r="I26" s="6" t="s">
        <v>252</v>
      </c>
      <c r="J26" s="6" t="s">
        <v>253</v>
      </c>
      <c r="K26" s="6" t="s">
        <v>79</v>
      </c>
    </row>
    <row r="27" spans="1:11" x14ac:dyDescent="0.3">
      <c r="A27" s="6" t="s">
        <v>254</v>
      </c>
      <c r="B27" s="6" t="s">
        <v>255</v>
      </c>
      <c r="C27" s="6" t="s">
        <v>256</v>
      </c>
      <c r="D27" s="6" t="s">
        <v>101</v>
      </c>
      <c r="E27" s="6" t="s">
        <v>257</v>
      </c>
      <c r="F27" s="6" t="s">
        <v>257</v>
      </c>
      <c r="G27" s="5">
        <v>18289</v>
      </c>
      <c r="H27" s="6" t="s">
        <v>258</v>
      </c>
      <c r="I27" s="6" t="s">
        <v>259</v>
      </c>
      <c r="J27" s="6" t="s">
        <v>96</v>
      </c>
      <c r="K27" s="6" t="s">
        <v>97</v>
      </c>
    </row>
    <row r="28" spans="1:11" x14ac:dyDescent="0.3">
      <c r="A28" s="6" t="s">
        <v>260</v>
      </c>
      <c r="B28" s="6" t="s">
        <v>261</v>
      </c>
      <c r="C28" s="6" t="s">
        <v>262</v>
      </c>
      <c r="D28" s="6" t="s">
        <v>101</v>
      </c>
      <c r="E28" s="6" t="s">
        <v>263</v>
      </c>
      <c r="F28" s="6" t="s">
        <v>264</v>
      </c>
      <c r="G28" s="5">
        <v>36839</v>
      </c>
      <c r="H28" s="6" t="s">
        <v>265</v>
      </c>
      <c r="I28" s="6" t="s">
        <v>266</v>
      </c>
      <c r="J28" s="6" t="s">
        <v>96</v>
      </c>
      <c r="K28" s="6" t="s">
        <v>267</v>
      </c>
    </row>
    <row r="29" spans="1:11" x14ac:dyDescent="0.3">
      <c r="A29" s="6" t="s">
        <v>268</v>
      </c>
      <c r="B29" s="6" t="s">
        <v>269</v>
      </c>
      <c r="C29" s="6" t="s">
        <v>270</v>
      </c>
      <c r="D29" s="6" t="s">
        <v>92</v>
      </c>
      <c r="E29" s="6" t="s">
        <v>271</v>
      </c>
      <c r="F29" s="6" t="s">
        <v>271</v>
      </c>
      <c r="G29" s="5">
        <v>18289</v>
      </c>
      <c r="H29" s="6" t="s">
        <v>272</v>
      </c>
      <c r="I29" s="6" t="s">
        <v>273</v>
      </c>
      <c r="J29" s="6" t="s">
        <v>274</v>
      </c>
      <c r="K29" s="6" t="s">
        <v>275</v>
      </c>
    </row>
    <row r="30" spans="1:11" x14ac:dyDescent="0.3">
      <c r="A30" s="6" t="s">
        <v>276</v>
      </c>
      <c r="B30" s="6" t="s">
        <v>277</v>
      </c>
      <c r="C30" s="6" t="s">
        <v>277</v>
      </c>
      <c r="D30" s="6" t="s">
        <v>277</v>
      </c>
      <c r="E30" s="6" t="s">
        <v>277</v>
      </c>
      <c r="F30" s="6" t="s">
        <v>277</v>
      </c>
      <c r="G30" s="5"/>
      <c r="H30" s="6" t="s">
        <v>278</v>
      </c>
      <c r="I30" s="6" t="s">
        <v>279</v>
      </c>
      <c r="J30" s="6" t="s">
        <v>277</v>
      </c>
      <c r="K30" s="6" t="s">
        <v>277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925F-8932-4A98-8A18-1630E5411820}">
  <dimension ref="E1:P36"/>
  <sheetViews>
    <sheetView topLeftCell="A4" workbookViewId="0">
      <selection activeCell="P13" sqref="P13"/>
    </sheetView>
  </sheetViews>
  <sheetFormatPr defaultRowHeight="14.4" x14ac:dyDescent="0.3"/>
  <cols>
    <col min="8" max="8" width="14" bestFit="1" customWidth="1"/>
    <col min="9" max="9" width="5.33203125" bestFit="1" customWidth="1"/>
  </cols>
  <sheetData>
    <row r="1" spans="8:16" x14ac:dyDescent="0.3">
      <c r="H1" s="7" t="s">
        <v>305</v>
      </c>
      <c r="I1" s="7" t="s">
        <v>290</v>
      </c>
      <c r="J1">
        <v>2</v>
      </c>
    </row>
    <row r="2" spans="8:16" x14ac:dyDescent="0.3">
      <c r="H2" s="4" t="s">
        <v>280</v>
      </c>
      <c r="I2" s="4">
        <v>98</v>
      </c>
    </row>
    <row r="3" spans="8:16" x14ac:dyDescent="0.3">
      <c r="H3" s="4" t="s">
        <v>281</v>
      </c>
      <c r="I3" s="4">
        <v>45</v>
      </c>
    </row>
    <row r="4" spans="8:16" x14ac:dyDescent="0.3">
      <c r="H4" s="4" t="s">
        <v>282</v>
      </c>
      <c r="I4" s="4">
        <v>63</v>
      </c>
    </row>
    <row r="5" spans="8:16" x14ac:dyDescent="0.3">
      <c r="H5" s="4" t="s">
        <v>283</v>
      </c>
      <c r="I5" s="4">
        <v>78</v>
      </c>
    </row>
    <row r="6" spans="8:16" x14ac:dyDescent="0.3">
      <c r="H6" s="4" t="s">
        <v>284</v>
      </c>
      <c r="I6" s="4">
        <v>95</v>
      </c>
    </row>
    <row r="7" spans="8:16" x14ac:dyDescent="0.3">
      <c r="H7" s="4" t="s">
        <v>285</v>
      </c>
      <c r="I7" s="4">
        <v>74</v>
      </c>
    </row>
    <row r="8" spans="8:16" x14ac:dyDescent="0.3">
      <c r="H8" s="4" t="s">
        <v>286</v>
      </c>
      <c r="I8" s="4">
        <v>81</v>
      </c>
    </row>
    <row r="9" spans="8:16" x14ac:dyDescent="0.3">
      <c r="H9" s="4" t="s">
        <v>287</v>
      </c>
      <c r="I9" s="4">
        <v>92</v>
      </c>
    </row>
    <row r="10" spans="8:16" x14ac:dyDescent="0.3">
      <c r="H10" s="4" t="s">
        <v>288</v>
      </c>
      <c r="I10" s="4">
        <v>73</v>
      </c>
    </row>
    <row r="11" spans="8:16" x14ac:dyDescent="0.3">
      <c r="H11" s="4" t="s">
        <v>289</v>
      </c>
      <c r="I11" s="4">
        <v>45</v>
      </c>
    </row>
    <row r="12" spans="8:16" x14ac:dyDescent="0.3">
      <c r="H12" s="8" t="s">
        <v>285</v>
      </c>
      <c r="I12" s="8">
        <v>69</v>
      </c>
      <c r="L12" t="str" cm="1">
        <f t="array" ref="L12:M36">IF(J1=1,_xlfn._xlws.SORT(H2:I26,2,1),_xlfn._xlws.SORT(H2:I26,2,-1))</f>
        <v>suba</v>
      </c>
      <c r="M12">
        <v>98</v>
      </c>
    </row>
    <row r="13" spans="8:16" x14ac:dyDescent="0.3">
      <c r="H13" s="8" t="s">
        <v>290</v>
      </c>
      <c r="I13" s="8">
        <v>72</v>
      </c>
      <c r="L13" t="str">
        <v>jimin</v>
      </c>
      <c r="M13">
        <v>96</v>
      </c>
      <c r="P13" t="str">
        <f>IF(J1=1,"TOP 10 STUDENTS","BOTTOM 10 STUDENTS")</f>
        <v>BOTTOM 10 STUDENTS</v>
      </c>
    </row>
    <row r="14" spans="8:16" x14ac:dyDescent="0.3">
      <c r="H14" s="8" t="s">
        <v>291</v>
      </c>
      <c r="I14" s="8">
        <v>45</v>
      </c>
      <c r="L14" t="str">
        <v>kumar</v>
      </c>
      <c r="M14">
        <v>95</v>
      </c>
    </row>
    <row r="15" spans="8:16" x14ac:dyDescent="0.3">
      <c r="H15" s="8" t="s">
        <v>292</v>
      </c>
      <c r="I15" s="8">
        <v>59</v>
      </c>
      <c r="L15" t="str">
        <v>mona</v>
      </c>
      <c r="M15">
        <v>92</v>
      </c>
    </row>
    <row r="16" spans="8:16" x14ac:dyDescent="0.3">
      <c r="H16" s="8" t="s">
        <v>293</v>
      </c>
      <c r="I16" s="8">
        <v>74</v>
      </c>
      <c r="L16" t="str">
        <v>priya</v>
      </c>
      <c r="M16">
        <v>86</v>
      </c>
    </row>
    <row r="17" spans="5:13" x14ac:dyDescent="0.3">
      <c r="H17" s="8" t="s">
        <v>294</v>
      </c>
      <c r="I17" s="8">
        <v>63</v>
      </c>
      <c r="L17" t="str">
        <v>anytony</v>
      </c>
      <c r="M17">
        <v>84</v>
      </c>
    </row>
    <row r="18" spans="5:13" x14ac:dyDescent="0.3">
      <c r="H18" s="8" t="s">
        <v>295</v>
      </c>
      <c r="I18" s="8">
        <v>84</v>
      </c>
      <c r="L18" t="str">
        <v>gayathri</v>
      </c>
      <c r="M18">
        <v>83</v>
      </c>
    </row>
    <row r="19" spans="5:13" x14ac:dyDescent="0.3">
      <c r="H19" s="8" t="s">
        <v>296</v>
      </c>
      <c r="I19" s="8">
        <v>71</v>
      </c>
      <c r="L19" t="str">
        <v>sujith</v>
      </c>
      <c r="M19">
        <v>81</v>
      </c>
    </row>
    <row r="20" spans="5:13" x14ac:dyDescent="0.3">
      <c r="H20" s="8" t="s">
        <v>297</v>
      </c>
      <c r="I20" s="8">
        <v>96</v>
      </c>
      <c r="L20" t="str">
        <v>harris</v>
      </c>
      <c r="M20">
        <v>78</v>
      </c>
    </row>
    <row r="21" spans="5:13" x14ac:dyDescent="0.3">
      <c r="H21" s="8" t="s">
        <v>298</v>
      </c>
      <c r="I21" s="8">
        <v>71</v>
      </c>
      <c r="L21" t="str">
        <v>sakthi</v>
      </c>
      <c r="M21">
        <v>74</v>
      </c>
    </row>
    <row r="22" spans="5:13" x14ac:dyDescent="0.3">
      <c r="H22" s="8" t="s">
        <v>299</v>
      </c>
      <c r="I22" s="8">
        <v>83</v>
      </c>
      <c r="L22" t="str">
        <v>vijay</v>
      </c>
      <c r="M22">
        <v>74</v>
      </c>
    </row>
    <row r="23" spans="5:13" x14ac:dyDescent="0.3">
      <c r="H23" s="8" t="s">
        <v>300</v>
      </c>
      <c r="I23" s="8">
        <v>86</v>
      </c>
      <c r="L23" t="str">
        <v>nusrath</v>
      </c>
      <c r="M23">
        <v>73</v>
      </c>
    </row>
    <row r="24" spans="5:13" x14ac:dyDescent="0.3">
      <c r="H24" s="8" t="s">
        <v>301</v>
      </c>
      <c r="I24" s="8">
        <v>45</v>
      </c>
      <c r="L24" t="str">
        <v>mark</v>
      </c>
      <c r="M24">
        <v>72</v>
      </c>
    </row>
    <row r="25" spans="5:13" x14ac:dyDescent="0.3">
      <c r="H25" s="8" t="s">
        <v>302</v>
      </c>
      <c r="I25" s="8">
        <v>65</v>
      </c>
      <c r="L25" t="str">
        <v>park</v>
      </c>
      <c r="M25">
        <v>71</v>
      </c>
    </row>
    <row r="26" spans="5:13" x14ac:dyDescent="0.3">
      <c r="H26" s="8" t="s">
        <v>303</v>
      </c>
      <c r="I26" s="8">
        <v>70</v>
      </c>
      <c r="L26" t="str">
        <v>tae</v>
      </c>
      <c r="M26">
        <v>71</v>
      </c>
    </row>
    <row r="27" spans="5:13" x14ac:dyDescent="0.3">
      <c r="L27" t="str">
        <v>stark</v>
      </c>
      <c r="M27">
        <v>70</v>
      </c>
    </row>
    <row r="28" spans="5:13" x14ac:dyDescent="0.3">
      <c r="L28" t="str">
        <v>sakthi</v>
      </c>
      <c r="M28">
        <v>69</v>
      </c>
    </row>
    <row r="29" spans="5:13" x14ac:dyDescent="0.3">
      <c r="K29">
        <f>K5</f>
        <v>0</v>
      </c>
      <c r="L29" t="str">
        <v>tony</v>
      </c>
      <c r="M29">
        <v>65</v>
      </c>
    </row>
    <row r="30" spans="5:13" x14ac:dyDescent="0.3">
      <c r="E30" t="s">
        <v>304</v>
      </c>
      <c r="L30" t="str">
        <v>shree</v>
      </c>
      <c r="M30">
        <v>63</v>
      </c>
    </row>
    <row r="31" spans="5:13" x14ac:dyDescent="0.3">
      <c r="L31" t="str">
        <v>thomas</v>
      </c>
      <c r="M31">
        <v>63</v>
      </c>
    </row>
    <row r="32" spans="5:13" x14ac:dyDescent="0.3">
      <c r="L32" t="str">
        <v>rio</v>
      </c>
      <c r="M32">
        <v>59</v>
      </c>
    </row>
    <row r="33" spans="12:13" x14ac:dyDescent="0.3">
      <c r="L33" t="str">
        <v>ria</v>
      </c>
      <c r="M33">
        <v>45</v>
      </c>
    </row>
    <row r="34" spans="12:13" x14ac:dyDescent="0.3">
      <c r="L34" t="str">
        <v>dhanush</v>
      </c>
      <c r="M34">
        <v>45</v>
      </c>
    </row>
    <row r="35" spans="12:13" x14ac:dyDescent="0.3">
      <c r="L35" t="str">
        <v>sam</v>
      </c>
      <c r="M35">
        <v>45</v>
      </c>
    </row>
    <row r="36" spans="12:13" x14ac:dyDescent="0.3">
      <c r="L36" t="str">
        <v>simran</v>
      </c>
      <c r="M36">
        <v>45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30" r:id="rId3" name="Option Button 14">
              <controlPr defaultSize="0" autoFill="0" autoLine="0" autoPict="0">
                <anchor moveWithCells="1">
                  <from>
                    <xdr:col>11</xdr:col>
                    <xdr:colOff>236220</xdr:colOff>
                    <xdr:row>4</xdr:row>
                    <xdr:rowOff>22860</xdr:rowOff>
                  </from>
                  <to>
                    <xdr:col>16</xdr:col>
                    <xdr:colOff>502920</xdr:colOff>
                    <xdr:row>7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4" name="Option Button 15">
              <controlPr defaultSize="0" autoFill="0" autoLine="0" autoPict="0">
                <anchor moveWithCells="1">
                  <from>
                    <xdr:col>11</xdr:col>
                    <xdr:colOff>190500</xdr:colOff>
                    <xdr:row>7</xdr:row>
                    <xdr:rowOff>152400</xdr:rowOff>
                  </from>
                  <to>
                    <xdr:col>13</xdr:col>
                    <xdr:colOff>563880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4A17-2B52-44BA-B749-C1FB78C362F9}">
  <dimension ref="A1:C6"/>
  <sheetViews>
    <sheetView zoomScale="110" workbookViewId="0">
      <selection sqref="A1:C6"/>
    </sheetView>
  </sheetViews>
  <sheetFormatPr defaultRowHeight="14.4" x14ac:dyDescent="0.3"/>
  <sheetData>
    <row r="1" spans="1:3" x14ac:dyDescent="0.3">
      <c r="A1" t="s">
        <v>306</v>
      </c>
      <c r="B1" t="s">
        <v>307</v>
      </c>
      <c r="C1" t="s">
        <v>308</v>
      </c>
    </row>
    <row r="2" spans="1:3" x14ac:dyDescent="0.3">
      <c r="A2">
        <v>5</v>
      </c>
      <c r="B2">
        <v>7</v>
      </c>
      <c r="C2">
        <v>4</v>
      </c>
    </row>
    <row r="3" spans="1:3" x14ac:dyDescent="0.3">
      <c r="A3">
        <v>6</v>
      </c>
      <c r="B3">
        <v>8</v>
      </c>
      <c r="C3">
        <v>9</v>
      </c>
    </row>
    <row r="4" spans="1:3" x14ac:dyDescent="0.3">
      <c r="A4">
        <v>7</v>
      </c>
      <c r="B4">
        <v>4</v>
      </c>
      <c r="C4">
        <v>7</v>
      </c>
    </row>
    <row r="5" spans="1:3" x14ac:dyDescent="0.3">
      <c r="A5">
        <v>8</v>
      </c>
      <c r="B5">
        <v>6</v>
      </c>
      <c r="C5">
        <v>9</v>
      </c>
    </row>
    <row r="6" spans="1:3" x14ac:dyDescent="0.3">
      <c r="A6">
        <v>9</v>
      </c>
      <c r="B6">
        <v>1</v>
      </c>
      <c r="C6">
        <v>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2ECA-49FF-4232-A953-0AD05747FEFE}">
  <dimension ref="A1:C3"/>
  <sheetViews>
    <sheetView tabSelected="1" topLeftCell="A10" zoomScale="143" workbookViewId="0">
      <selection sqref="A1:C3"/>
    </sheetView>
  </sheetViews>
  <sheetFormatPr defaultRowHeight="14.4" x14ac:dyDescent="0.3"/>
  <sheetData>
    <row r="1" spans="1:3" x14ac:dyDescent="0.3">
      <c r="A1" t="s">
        <v>306</v>
      </c>
      <c r="B1" t="s">
        <v>307</v>
      </c>
      <c r="C1" t="s">
        <v>308</v>
      </c>
    </row>
    <row r="2" spans="1:3" x14ac:dyDescent="0.3">
      <c r="A2">
        <v>5</v>
      </c>
      <c r="B2">
        <v>7</v>
      </c>
      <c r="C2">
        <v>4</v>
      </c>
    </row>
    <row r="3" spans="1:3" x14ac:dyDescent="0.3">
      <c r="A3">
        <v>6</v>
      </c>
      <c r="B3">
        <v>8</v>
      </c>
      <c r="C3">
        <v>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45A670-962E-4701-AF17-535F41C8DF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BAR AND COLUMN GRAPH</vt:lpstr>
      <vt:lpstr>HIERARCHICAL CHART</vt:lpstr>
      <vt:lpstr>FUNNEL CHART</vt:lpstr>
      <vt:lpstr>WATERFALL CHART</vt:lpstr>
      <vt:lpstr>LINE&amp;AREA CHART</vt:lpstr>
      <vt:lpstr>PIE AND DOUGHNUT CHART</vt:lpstr>
      <vt:lpstr>COMBO CHART</vt:lpstr>
      <vt:lpstr>web source -map</vt:lpstr>
      <vt:lpstr>SORT DEC AND ASCE</vt:lpstr>
      <vt:lpstr>BUBBLE AND SCATTER CHART</vt:lpstr>
      <vt:lpstr>RADAR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Subashree Selvakumar</dc:creator>
  <cp:lastModifiedBy>Subashree Selvakumar</cp:lastModifiedBy>
  <dcterms:created xsi:type="dcterms:W3CDTF">2026-02-13T03:03:30Z</dcterms:created>
  <dcterms:modified xsi:type="dcterms:W3CDTF">2026-02-19T02:54:20Z</dcterms:modified>
</cp:coreProperties>
</file>