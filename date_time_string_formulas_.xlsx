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2041d0da4ce15/Desktop/EXCEL Besent/"/>
    </mc:Choice>
  </mc:AlternateContent>
  <xr:revisionPtr revIDLastSave="0" documentId="8_{4F93EF52-3B73-4D19-B319-6D6DADE79B27}" xr6:coauthVersionLast="47" xr6:coauthVersionMax="47" xr10:uidLastSave="{00000000-0000-0000-0000-000000000000}"/>
  <bookViews>
    <workbookView xWindow="-108" yWindow="-108" windowWidth="23256" windowHeight="12456" activeTab="1" xr2:uid="{9230D703-AA9B-4CA3-A861-97F1AE3C2A58}"/>
  </bookViews>
  <sheets>
    <sheet name="date &amp;time" sheetId="1" r:id="rId1"/>
    <sheet name="str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3" i="1" l="1"/>
  <c r="A20" i="1"/>
  <c r="AA2" i="3"/>
  <c r="AA3" i="3"/>
  <c r="AA4" i="3"/>
  <c r="AA1" i="3"/>
  <c r="Y2" i="3"/>
  <c r="Y3" i="3"/>
  <c r="Y4" i="3"/>
  <c r="Y1" i="3"/>
  <c r="V2" i="3"/>
  <c r="V1" i="3"/>
  <c r="U1" i="3"/>
  <c r="T1" i="3"/>
  <c r="R1" i="3"/>
  <c r="Q2" i="3"/>
  <c r="Q1" i="3"/>
  <c r="P2" i="3"/>
  <c r="P1" i="3"/>
  <c r="K4" i="3" a="1"/>
  <c r="K4" i="3" s="1"/>
  <c r="K3" i="3" a="1"/>
  <c r="K3" i="3" s="1"/>
  <c r="K2" i="3" a="1"/>
  <c r="K2" i="3" s="1"/>
  <c r="K1" i="3" a="1"/>
  <c r="K1" i="3" s="1"/>
  <c r="B14" i="3"/>
  <c r="C14" i="3" s="1"/>
  <c r="D14" i="3"/>
  <c r="E14" i="3"/>
  <c r="F14" i="3"/>
  <c r="B13" i="3"/>
  <c r="D13" i="3"/>
  <c r="E13" i="3"/>
  <c r="F13" i="3"/>
  <c r="B12" i="3"/>
  <c r="C12" i="3" s="1"/>
  <c r="D12" i="3"/>
  <c r="E12" i="3"/>
  <c r="F12" i="3"/>
  <c r="B11" i="3"/>
  <c r="D11" i="3"/>
  <c r="E11" i="3"/>
  <c r="F11" i="3"/>
  <c r="H3" i="3"/>
  <c r="H2" i="3"/>
  <c r="H1" i="3"/>
  <c r="G2" i="3"/>
  <c r="G3" i="3"/>
  <c r="G4" i="3"/>
  <c r="G5" i="3"/>
  <c r="G6" i="3"/>
  <c r="G7" i="3"/>
  <c r="G8" i="3"/>
  <c r="G9" i="3"/>
  <c r="G10" i="3"/>
  <c r="G1" i="3"/>
  <c r="F2" i="3"/>
  <c r="F3" i="3"/>
  <c r="F4" i="3"/>
  <c r="F5" i="3"/>
  <c r="F6" i="3"/>
  <c r="F7" i="3"/>
  <c r="F8" i="3"/>
  <c r="F9" i="3"/>
  <c r="F10" i="3"/>
  <c r="F1" i="3"/>
  <c r="E2" i="3"/>
  <c r="E3" i="3"/>
  <c r="E4" i="3"/>
  <c r="E5" i="3"/>
  <c r="E6" i="3"/>
  <c r="E7" i="3"/>
  <c r="E8" i="3"/>
  <c r="E9" i="3"/>
  <c r="E10" i="3"/>
  <c r="E1" i="3"/>
  <c r="D2" i="3"/>
  <c r="D3" i="3"/>
  <c r="D4" i="3"/>
  <c r="D5" i="3"/>
  <c r="D6" i="3"/>
  <c r="D7" i="3"/>
  <c r="D8" i="3"/>
  <c r="D9" i="3"/>
  <c r="D10" i="3"/>
  <c r="D1" i="3"/>
  <c r="C1" i="3"/>
  <c r="B2" i="3"/>
  <c r="C2" i="3" s="1"/>
  <c r="B3" i="3"/>
  <c r="C3" i="3" s="1"/>
  <c r="B4" i="3"/>
  <c r="C4" i="3" s="1"/>
  <c r="B5" i="3"/>
  <c r="C5" i="3" s="1"/>
  <c r="B6" i="3"/>
  <c r="C6" i="3" s="1"/>
  <c r="B7" i="3"/>
  <c r="C7" i="3" s="1"/>
  <c r="B8" i="3"/>
  <c r="C8" i="3" s="1"/>
  <c r="B9" i="3"/>
  <c r="C9" i="3" s="1"/>
  <c r="B10" i="3"/>
  <c r="C10" i="3" s="1"/>
  <c r="B1" i="3"/>
  <c r="D27" i="1"/>
  <c r="C27" i="1"/>
  <c r="A29" i="1"/>
  <c r="A26" i="1"/>
  <c r="F23" i="1"/>
  <c r="E23" i="1"/>
  <c r="D23" i="1"/>
  <c r="A2" i="1"/>
  <c r="A19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<sst xmlns="http://schemas.openxmlformats.org/spreadsheetml/2006/main" count="22" uniqueCount="18">
  <si>
    <t>kannan</t>
  </si>
  <si>
    <t>ganesh</t>
  </si>
  <si>
    <t>tharun</t>
  </si>
  <si>
    <t>dhanush</t>
  </si>
  <si>
    <t>karthick</t>
  </si>
  <si>
    <t>vijay</t>
  </si>
  <si>
    <t>vinoth</t>
  </si>
  <si>
    <t>vineeth</t>
  </si>
  <si>
    <t>Ram</t>
  </si>
  <si>
    <t>Saran</t>
  </si>
  <si>
    <t>A-B-C-D-E</t>
  </si>
  <si>
    <t>Aabc123a</t>
  </si>
  <si>
    <t>XYZabc123X4</t>
  </si>
  <si>
    <t>Abc123ab123997</t>
  </si>
  <si>
    <t>Ab12349123a123</t>
  </si>
  <si>
    <t>excel 2016 2016</t>
  </si>
  <si>
    <t>excel 2016 hello</t>
  </si>
  <si>
    <t>2016 excel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</si>
</sst>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850E-3E95-4070-896F-82776C8AB135}">
  <dimension ref="A1:F30"/>
  <sheetViews>
    <sheetView workbookViewId="0">
      <selection activeCell="A23" sqref="A23"/>
    </sheetView>
  </sheetViews>
  <sheetFormatPr defaultRowHeight="14.4" x14ac:dyDescent="0.3"/>
  <cols>
    <col min="1" max="1" width="15.109375" bestFit="1" customWidth="1"/>
    <col min="2" max="2" width="10.109375" bestFit="1" customWidth="1"/>
    <col min="3" max="3" width="15.109375" bestFit="1" customWidth="1"/>
    <col min="4" max="4" width="10.109375" bestFit="1" customWidth="1"/>
    <col min="6" max="6" width="10.109375" bestFit="1" customWidth="1"/>
  </cols>
  <sheetData>
    <row r="1" spans="1:4" x14ac:dyDescent="0.3">
      <c r="A1" s="1">
        <f ca="1">TODAY()</f>
        <v>46093</v>
      </c>
      <c r="C1" s="2"/>
    </row>
    <row r="2" spans="1:4" x14ac:dyDescent="0.3">
      <c r="A2" s="2">
        <f ca="1">NOW()</f>
        <v>46093.490785879629</v>
      </c>
    </row>
    <row r="3" spans="1:4" x14ac:dyDescent="0.3">
      <c r="A3">
        <f ca="1">YEAR(NOW())</f>
        <v>2026</v>
      </c>
    </row>
    <row r="4" spans="1:4" x14ac:dyDescent="0.3">
      <c r="A4">
        <f ca="1">MONTH(NOW())</f>
        <v>3</v>
      </c>
    </row>
    <row r="5" spans="1:4" x14ac:dyDescent="0.3">
      <c r="A5">
        <f ca="1">DAY(NOW())</f>
        <v>12</v>
      </c>
      <c r="C5" s="1"/>
    </row>
    <row r="6" spans="1:4" x14ac:dyDescent="0.3">
      <c r="A6">
        <f ca="1">HOUR(NOW())</f>
        <v>11</v>
      </c>
      <c r="D6" s="3"/>
    </row>
    <row r="7" spans="1:4" x14ac:dyDescent="0.3">
      <c r="A7">
        <f ca="1">MINUTE(NOW())</f>
        <v>46</v>
      </c>
    </row>
    <row r="8" spans="1:4" x14ac:dyDescent="0.3">
      <c r="A8">
        <f ca="1">SECOND(NOW())</f>
        <v>44</v>
      </c>
    </row>
    <row r="9" spans="1:4" x14ac:dyDescent="0.3">
      <c r="A9">
        <f ca="1">WEEKDAY(NOW())</f>
        <v>5</v>
      </c>
    </row>
    <row r="10" spans="1:4" x14ac:dyDescent="0.3">
      <c r="A10" s="1">
        <f>DATE(2026,12,5)</f>
        <v>46361</v>
      </c>
    </row>
    <row r="11" spans="1:4" x14ac:dyDescent="0.3">
      <c r="A11" s="3">
        <f>TIME(12,14,16)</f>
        <v>0.50990740740740736</v>
      </c>
    </row>
    <row r="12" spans="1:4" x14ac:dyDescent="0.3">
      <c r="A12" s="1">
        <f ca="1">EDATE(NOW(),2)</f>
        <v>46154</v>
      </c>
    </row>
    <row r="13" spans="1:4" x14ac:dyDescent="0.3">
      <c r="A13" s="1">
        <f ca="1">EDATE(NOW(),-2)</f>
        <v>46034</v>
      </c>
    </row>
    <row r="14" spans="1:4" x14ac:dyDescent="0.3">
      <c r="A14" s="1">
        <f ca="1">EOMONTH(NOW(),2)</f>
        <v>46173</v>
      </c>
    </row>
    <row r="15" spans="1:4" x14ac:dyDescent="0.3">
      <c r="A15" s="1">
        <f ca="1">EOMONTH(NOW(),-2)</f>
        <v>46053</v>
      </c>
    </row>
    <row r="16" spans="1:4" x14ac:dyDescent="0.3">
      <c r="A16">
        <f ca="1">WEEKNUM(NOW())</f>
        <v>11</v>
      </c>
    </row>
    <row r="17" spans="1:6" x14ac:dyDescent="0.3">
      <c r="A17" s="1">
        <f>DATE(2025,1,1)</f>
        <v>45658</v>
      </c>
    </row>
    <row r="18" spans="1:6" x14ac:dyDescent="0.3">
      <c r="A18" s="1">
        <v>76</v>
      </c>
    </row>
    <row r="19" spans="1:6" x14ac:dyDescent="0.3">
      <c r="A19">
        <f>YEARFRAC(A17,A18)</f>
        <v>124.79166666666667</v>
      </c>
    </row>
    <row r="20" spans="1:6" x14ac:dyDescent="0.3">
      <c r="A20">
        <f>1.275*12</f>
        <v>15.299999999999999</v>
      </c>
    </row>
    <row r="21" spans="1:6" x14ac:dyDescent="0.3">
      <c r="A21" s="1">
        <v>46023</v>
      </c>
      <c r="C21" s="4"/>
    </row>
    <row r="22" spans="1:6" x14ac:dyDescent="0.3">
      <c r="A22" s="1">
        <v>46053</v>
      </c>
    </row>
    <row r="23" spans="1:6" x14ac:dyDescent="0.3">
      <c r="A23">
        <f>NETWORKDAYS(A21,A22)</f>
        <v>22</v>
      </c>
      <c r="B23" s="1">
        <v>46037</v>
      </c>
      <c r="C23" s="1">
        <v>46048</v>
      </c>
      <c r="D23">
        <f>NETWORKDAYS(A21,A22,B23:C23)</f>
        <v>20</v>
      </c>
      <c r="E23">
        <f>NETWORKDAYS.INTL(A21,A22,7,B23:C23)</f>
        <v>19</v>
      </c>
      <c r="F23" s="1">
        <f>WORKDAY(A21,250)</f>
        <v>46373</v>
      </c>
    </row>
    <row r="24" spans="1:6" x14ac:dyDescent="0.3">
      <c r="A24" s="1">
        <v>46054</v>
      </c>
      <c r="B24" s="1"/>
    </row>
    <row r="25" spans="1:6" x14ac:dyDescent="0.3">
      <c r="A25" s="1">
        <v>46081</v>
      </c>
    </row>
    <row r="26" spans="1:6" x14ac:dyDescent="0.3">
      <c r="A26">
        <f>NETWORKDAYS(A24,A25)</f>
        <v>20</v>
      </c>
      <c r="D26" s="1"/>
      <c r="F26" s="1"/>
    </row>
    <row r="27" spans="1:6" x14ac:dyDescent="0.3">
      <c r="A27" s="1">
        <v>46357</v>
      </c>
      <c r="B27" s="1">
        <v>46381</v>
      </c>
      <c r="C27">
        <f>NETWORKDAYS(A27,A28,B27)</f>
        <v>22</v>
      </c>
      <c r="D27" s="1">
        <f>WORKDAY(A27,20,B27)</f>
        <v>46386</v>
      </c>
    </row>
    <row r="28" spans="1:6" x14ac:dyDescent="0.3">
      <c r="A28" s="1">
        <v>46387</v>
      </c>
    </row>
    <row r="29" spans="1:6" x14ac:dyDescent="0.3">
      <c r="A29">
        <f>NETWORKDAYS(A27,A28)</f>
        <v>23</v>
      </c>
    </row>
    <row r="30" spans="1:6" x14ac:dyDescent="0.3">
      <c r="A3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5D6B-2983-4316-B820-227B0FC865CA}">
  <dimension ref="A1:AA14"/>
  <sheetViews>
    <sheetView tabSelected="1" workbookViewId="0">
      <selection activeCell="S1" sqref="S1"/>
    </sheetView>
  </sheetViews>
  <sheetFormatPr defaultRowHeight="14.4" x14ac:dyDescent="0.3"/>
  <sheetData>
    <row r="1" spans="1:27" x14ac:dyDescent="0.3">
      <c r="A1" t="s">
        <v>9</v>
      </c>
      <c r="B1" t="str">
        <f>UPPER(A1)</f>
        <v>SARAN</v>
      </c>
      <c r="C1" t="str">
        <f>LOWER(B1)</f>
        <v>saran</v>
      </c>
      <c r="D1" t="str">
        <f t="shared" ref="D1:D14" si="0">LEFT(A1,3)</f>
        <v>Sar</v>
      </c>
      <c r="E1" t="str">
        <f>RIGHT(A1,3)</f>
        <v>ran</v>
      </c>
      <c r="F1" t="str">
        <f>MID(A1,2,3)</f>
        <v>ara</v>
      </c>
      <c r="G1">
        <f>LEN(A1)</f>
        <v>5</v>
      </c>
      <c r="H1" t="str">
        <f>REPT("😊",5)</f>
        <v>😊😊😊😊😊</v>
      </c>
      <c r="J1" t="s">
        <v>10</v>
      </c>
      <c r="K1" t="str" cm="1">
        <f t="array" ref="K1:O1">_xlfn.TEXTSPLIT(J1,"-")</f>
        <v>A</v>
      </c>
      <c r="L1" t="str">
        <v>B</v>
      </c>
      <c r="M1" t="str">
        <v>C</v>
      </c>
      <c r="N1" t="str">
        <v>D</v>
      </c>
      <c r="O1" t="str">
        <v>E</v>
      </c>
      <c r="P1">
        <f>FIND("a",A1,1)</f>
        <v>2</v>
      </c>
      <c r="Q1">
        <f>IFERROR(FIND("a",A1,1),"not available")</f>
        <v>2</v>
      </c>
      <c r="R1">
        <f>SEARCH("A",A1,1)</f>
        <v>2</v>
      </c>
      <c r="S1" t="s">
        <v>11</v>
      </c>
      <c r="T1">
        <f>FIND("a",S1, FIND("a",S1,1)+1)</f>
        <v>8</v>
      </c>
      <c r="U1">
        <f>SEARCH("a",S1, SEARCH("a",S1,1)+1)</f>
        <v>2</v>
      </c>
      <c r="V1" t="str">
        <f>REPLACE(S1,1,4,"besant")</f>
        <v>besant123a</v>
      </c>
      <c r="W1" t="s">
        <v>15</v>
      </c>
      <c r="Y1" t="str">
        <f>SUBSTITUTE(W1,"2016","2024")</f>
        <v>excel 2024 2024</v>
      </c>
      <c r="AA1" t="str">
        <f>SUBSTITUTE(W1,"2016","2025",1)</f>
        <v>excel 2025 2016</v>
      </c>
    </row>
    <row r="2" spans="1:27" x14ac:dyDescent="0.3">
      <c r="A2" t="s">
        <v>8</v>
      </c>
      <c r="B2" t="str">
        <f t="shared" ref="B2:B14" si="1">UPPER(A2)</f>
        <v>RAM</v>
      </c>
      <c r="C2" t="str">
        <f t="shared" ref="C2:C14" si="2">LOWER(B2)</f>
        <v>ram</v>
      </c>
      <c r="D2" t="str">
        <f t="shared" si="0"/>
        <v>Ram</v>
      </c>
      <c r="E2" t="str">
        <f t="shared" ref="E2:E14" si="3">RIGHT(A2,3)</f>
        <v>Ram</v>
      </c>
      <c r="F2" t="str">
        <f t="shared" ref="F2:F14" si="4">MID(A2,2,3)</f>
        <v>am</v>
      </c>
      <c r="G2">
        <f t="shared" ref="G2:G10" si="5">LEN(A2)</f>
        <v>3</v>
      </c>
      <c r="H2" t="str">
        <f>REPT("😊",3)</f>
        <v>😊😊😊</v>
      </c>
      <c r="J2" t="s">
        <v>10</v>
      </c>
      <c r="K2" t="str" cm="1">
        <f t="array" ref="K2:O2">_xlfn.TEXTSPLIT(J2,"-")</f>
        <v>A</v>
      </c>
      <c r="L2" t="str">
        <v>B</v>
      </c>
      <c r="M2" t="str">
        <v>C</v>
      </c>
      <c r="N2" t="str">
        <v>D</v>
      </c>
      <c r="O2" t="str">
        <v>E</v>
      </c>
      <c r="P2">
        <f>FIND("m",A2,1)</f>
        <v>3</v>
      </c>
      <c r="Q2" t="str">
        <f>IFERROR(FIND("s",A2,1),"not available")</f>
        <v>not available</v>
      </c>
      <c r="S2" t="s">
        <v>12</v>
      </c>
      <c r="V2" t="str">
        <f>REPLACE(S2,1,5,"sudar")</f>
        <v>sudarc123X4</v>
      </c>
      <c r="W2" t="s">
        <v>16</v>
      </c>
      <c r="Y2" t="str">
        <f t="shared" ref="Y2:Y4" si="6">SUBSTITUTE(W2,"2016","2024")</f>
        <v>excel 2024 hello</v>
      </c>
      <c r="AA2" t="str">
        <f t="shared" ref="AA2:AA4" si="7">SUBSTITUTE(W2,"2016","2025",1)</f>
        <v>excel 2025 hello</v>
      </c>
    </row>
    <row r="3" spans="1:27" x14ac:dyDescent="0.3">
      <c r="A3" t="s">
        <v>7</v>
      </c>
      <c r="B3" t="str">
        <f t="shared" si="1"/>
        <v>VINEETH</v>
      </c>
      <c r="C3" t="str">
        <f t="shared" si="2"/>
        <v>vineeth</v>
      </c>
      <c r="D3" t="str">
        <f t="shared" si="0"/>
        <v>vin</v>
      </c>
      <c r="E3" t="str">
        <f t="shared" si="3"/>
        <v>eth</v>
      </c>
      <c r="F3" t="str">
        <f t="shared" si="4"/>
        <v>ine</v>
      </c>
      <c r="G3">
        <f t="shared" si="5"/>
        <v>7</v>
      </c>
      <c r="H3" t="str">
        <f>REPT("😊",7)</f>
        <v>😊😊😊😊😊😊😊</v>
      </c>
      <c r="J3" t="s">
        <v>10</v>
      </c>
      <c r="K3" t="str" cm="1">
        <f t="array" ref="K3:O3">_xlfn.TEXTSPLIT(J3,"-")</f>
        <v>A</v>
      </c>
      <c r="L3" t="str">
        <v>B</v>
      </c>
      <c r="M3" t="str">
        <v>C</v>
      </c>
      <c r="N3" t="str">
        <v>D</v>
      </c>
      <c r="O3" t="str">
        <v>E</v>
      </c>
      <c r="S3" t="s">
        <v>13</v>
      </c>
      <c r="W3" t="s">
        <v>16</v>
      </c>
      <c r="Y3" t="str">
        <f t="shared" si="6"/>
        <v>excel 2024 hello</v>
      </c>
      <c r="AA3" t="str">
        <f t="shared" si="7"/>
        <v>excel 2025 hello</v>
      </c>
    </row>
    <row r="4" spans="1:27" x14ac:dyDescent="0.3">
      <c r="A4" t="s">
        <v>6</v>
      </c>
      <c r="B4" t="str">
        <f t="shared" si="1"/>
        <v>VINOTH</v>
      </c>
      <c r="C4" t="str">
        <f t="shared" si="2"/>
        <v>vinoth</v>
      </c>
      <c r="D4" t="str">
        <f t="shared" si="0"/>
        <v>vin</v>
      </c>
      <c r="E4" t="str">
        <f t="shared" si="3"/>
        <v>oth</v>
      </c>
      <c r="F4" t="str">
        <f t="shared" si="4"/>
        <v>ino</v>
      </c>
      <c r="G4">
        <f t="shared" si="5"/>
        <v>6</v>
      </c>
      <c r="J4" t="s">
        <v>10</v>
      </c>
      <c r="K4" t="str" cm="1">
        <f t="array" ref="K4:O4">_xlfn.TEXTSPLIT(J4,"-")</f>
        <v>A</v>
      </c>
      <c r="L4" t="str">
        <v>B</v>
      </c>
      <c r="M4" t="str">
        <v>C</v>
      </c>
      <c r="N4" t="str">
        <v>D</v>
      </c>
      <c r="O4" t="str">
        <v>E</v>
      </c>
      <c r="S4" t="s">
        <v>14</v>
      </c>
      <c r="W4" t="s">
        <v>17</v>
      </c>
      <c r="Y4" t="str">
        <f t="shared" si="6"/>
        <v>2024 excel 2024</v>
      </c>
      <c r="AA4" t="str">
        <f t="shared" si="7"/>
        <v>2025 excel 2016</v>
      </c>
    </row>
    <row r="5" spans="1:27" x14ac:dyDescent="0.3">
      <c r="A5" t="s">
        <v>5</v>
      </c>
      <c r="B5" t="str">
        <f t="shared" si="1"/>
        <v>VIJAY</v>
      </c>
      <c r="C5" t="str">
        <f t="shared" si="2"/>
        <v>vijay</v>
      </c>
      <c r="D5" t="str">
        <f t="shared" si="0"/>
        <v>vij</v>
      </c>
      <c r="E5" t="str">
        <f t="shared" si="3"/>
        <v>jay</v>
      </c>
      <c r="F5" t="str">
        <f t="shared" si="4"/>
        <v>ija</v>
      </c>
      <c r="G5">
        <f t="shared" si="5"/>
        <v>5</v>
      </c>
    </row>
    <row r="6" spans="1:27" x14ac:dyDescent="0.3">
      <c r="A6" t="s">
        <v>0</v>
      </c>
      <c r="B6" t="str">
        <f t="shared" si="1"/>
        <v>KANNAN</v>
      </c>
      <c r="C6" t="str">
        <f t="shared" si="2"/>
        <v>kannan</v>
      </c>
      <c r="D6" t="str">
        <f t="shared" si="0"/>
        <v>kan</v>
      </c>
      <c r="E6" t="str">
        <f t="shared" si="3"/>
        <v>nan</v>
      </c>
      <c r="F6" t="str">
        <f t="shared" si="4"/>
        <v>ann</v>
      </c>
      <c r="G6">
        <f t="shared" si="5"/>
        <v>6</v>
      </c>
    </row>
    <row r="7" spans="1:27" x14ac:dyDescent="0.3">
      <c r="A7" t="s">
        <v>1</v>
      </c>
      <c r="B7" t="str">
        <f t="shared" si="1"/>
        <v>GANESH</v>
      </c>
      <c r="C7" t="str">
        <f t="shared" si="2"/>
        <v>ganesh</v>
      </c>
      <c r="D7" t="str">
        <f t="shared" si="0"/>
        <v>gan</v>
      </c>
      <c r="E7" t="str">
        <f t="shared" si="3"/>
        <v>esh</v>
      </c>
      <c r="F7" t="str">
        <f t="shared" si="4"/>
        <v>ane</v>
      </c>
      <c r="G7">
        <f t="shared" si="5"/>
        <v>6</v>
      </c>
    </row>
    <row r="8" spans="1:27" x14ac:dyDescent="0.3">
      <c r="A8" t="s">
        <v>2</v>
      </c>
      <c r="B8" t="str">
        <f t="shared" si="1"/>
        <v>THARUN</v>
      </c>
      <c r="C8" t="str">
        <f t="shared" si="2"/>
        <v>tharun</v>
      </c>
      <c r="D8" t="str">
        <f t="shared" si="0"/>
        <v>tha</v>
      </c>
      <c r="E8" t="str">
        <f t="shared" si="3"/>
        <v>run</v>
      </c>
      <c r="F8" t="str">
        <f t="shared" si="4"/>
        <v>har</v>
      </c>
      <c r="G8">
        <f t="shared" si="5"/>
        <v>6</v>
      </c>
    </row>
    <row r="9" spans="1:27" x14ac:dyDescent="0.3">
      <c r="A9" t="s">
        <v>3</v>
      </c>
      <c r="B9" t="str">
        <f t="shared" si="1"/>
        <v>DHANUSH</v>
      </c>
      <c r="C9" t="str">
        <f t="shared" si="2"/>
        <v>dhanush</v>
      </c>
      <c r="D9" t="str">
        <f t="shared" si="0"/>
        <v>dha</v>
      </c>
      <c r="E9" t="str">
        <f t="shared" si="3"/>
        <v>ush</v>
      </c>
      <c r="F9" t="str">
        <f t="shared" si="4"/>
        <v>han</v>
      </c>
      <c r="G9">
        <f t="shared" si="5"/>
        <v>7</v>
      </c>
    </row>
    <row r="10" spans="1:27" x14ac:dyDescent="0.3">
      <c r="A10" t="s">
        <v>4</v>
      </c>
      <c r="B10" t="str">
        <f t="shared" si="1"/>
        <v>KARTHICK</v>
      </c>
      <c r="C10" t="str">
        <f t="shared" si="2"/>
        <v>karthick</v>
      </c>
      <c r="D10" t="str">
        <f t="shared" si="0"/>
        <v>kar</v>
      </c>
      <c r="E10" t="str">
        <f t="shared" si="3"/>
        <v>ick</v>
      </c>
      <c r="F10" t="str">
        <f t="shared" si="4"/>
        <v>art</v>
      </c>
      <c r="G10">
        <f t="shared" si="5"/>
        <v>8</v>
      </c>
    </row>
    <row r="11" spans="1:27" x14ac:dyDescent="0.3">
      <c r="B11" t="str">
        <f t="shared" si="1"/>
        <v/>
      </c>
      <c r="D11" t="str">
        <f t="shared" si="0"/>
        <v/>
      </c>
      <c r="E11" t="str">
        <f t="shared" si="3"/>
        <v/>
      </c>
      <c r="F11" t="str">
        <f t="shared" si="4"/>
        <v/>
      </c>
    </row>
    <row r="12" spans="1:27" x14ac:dyDescent="0.3">
      <c r="B12" t="str">
        <f t="shared" si="1"/>
        <v/>
      </c>
      <c r="C12" t="str">
        <f t="shared" si="2"/>
        <v/>
      </c>
      <c r="D12" t="str">
        <f t="shared" si="0"/>
        <v/>
      </c>
      <c r="E12" t="str">
        <f t="shared" si="3"/>
        <v/>
      </c>
      <c r="F12" t="str">
        <f t="shared" si="4"/>
        <v/>
      </c>
    </row>
    <row r="13" spans="1:27" x14ac:dyDescent="0.3">
      <c r="B13" t="str">
        <f t="shared" si="1"/>
        <v/>
      </c>
      <c r="D13" t="str">
        <f t="shared" si="0"/>
        <v/>
      </c>
      <c r="E13" t="str">
        <f t="shared" si="3"/>
        <v/>
      </c>
      <c r="F13" t="str">
        <f t="shared" si="4"/>
        <v/>
      </c>
    </row>
    <row r="14" spans="1:27" x14ac:dyDescent="0.3">
      <c r="B14" t="str">
        <f t="shared" si="1"/>
        <v/>
      </c>
      <c r="C14" t="str">
        <f t="shared" si="2"/>
        <v/>
      </c>
      <c r="D14" t="str">
        <f t="shared" si="0"/>
        <v/>
      </c>
      <c r="E14" t="str">
        <f t="shared" si="3"/>
        <v/>
      </c>
      <c r="F14" t="str">
        <f t="shared" si="4"/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&amp;time</vt:lpstr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Subashree Selvakumar</cp:lastModifiedBy>
  <dcterms:created xsi:type="dcterms:W3CDTF">2026-02-04T03:17:10Z</dcterms:created>
  <dcterms:modified xsi:type="dcterms:W3CDTF">2026-03-12T06:29:08Z</dcterms:modified>
</cp:coreProperties>
</file>