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2041d0da4ce15/Documents/"/>
    </mc:Choice>
  </mc:AlternateContent>
  <xr:revisionPtr revIDLastSave="0" documentId="8_{838DD227-7E5E-4203-BD20-D2D86FA429DB}" xr6:coauthVersionLast="47" xr6:coauthVersionMax="47" xr10:uidLastSave="{00000000-0000-0000-0000-000000000000}"/>
  <bookViews>
    <workbookView xWindow="-108" yWindow="-108" windowWidth="23256" windowHeight="12456" activeTab="2" xr2:uid="{AC316BE4-3508-47CF-89A4-A98C73EEF3BB}"/>
  </bookViews>
  <sheets>
    <sheet name="lookup" sheetId="1" r:id="rId1"/>
    <sheet name="AND OR" sheetId="2" r:id="rId2"/>
    <sheet name="IF CONDITION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3" l="1"/>
  <c r="H7" i="3"/>
  <c r="I7" i="3" s="1" a="1"/>
  <c r="I7" i="3" s="1"/>
  <c r="J6" i="3"/>
  <c r="I6" i="3" a="1"/>
  <c r="I6" i="3" s="1"/>
  <c r="H6" i="3"/>
  <c r="J5" i="3"/>
  <c r="I5" i="3" a="1"/>
  <c r="I5" i="3" s="1"/>
  <c r="H5" i="3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T20" i="1"/>
  <c r="S20" i="1"/>
  <c r="L20" i="1"/>
  <c r="L19" i="1"/>
  <c r="L7" i="1"/>
  <c r="K7" i="1"/>
  <c r="N6" i="1"/>
  <c r="L6" i="1"/>
  <c r="K6" i="1"/>
  <c r="J6" i="1"/>
  <c r="N5" i="1"/>
  <c r="L5" i="1"/>
  <c r="K5" i="1"/>
  <c r="J5" i="1"/>
  <c r="N4" i="1"/>
  <c r="L4" i="1"/>
  <c r="K4" i="1"/>
  <c r="J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<sst xmlns="http://schemas.openxmlformats.org/spreadsheetml/2006/main" count="102" uniqueCount="59">
  <si>
    <t>EMPID</t>
  </si>
  <si>
    <t>EMPNAME</t>
  </si>
  <si>
    <t>EMPPHONE</t>
  </si>
  <si>
    <t>EMPSALARY</t>
  </si>
  <si>
    <t>IFNA(VLOOKUP)</t>
  </si>
  <si>
    <t>INDEX/MATCH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</si>
  <si>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</si>
  <si>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</si>
  <si>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</si>
  <si>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</si>
  <si>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</si>
  <si>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</si>
  <si>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</si>
  <si>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</si>
  <si>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</si>
  <si>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IMPPPPP</t>
  </si>
  <si>
    <t>SALES</t>
  </si>
  <si>
    <t>PROFIT</t>
  </si>
  <si>
    <t>QUANTITY</t>
  </si>
  <si>
    <t>JAN</t>
  </si>
  <si>
    <t>FEB</t>
  </si>
  <si>
    <t>MARCH</t>
  </si>
  <si>
    <t>APRIL</t>
  </si>
  <si>
    <t>HLOOKUP</t>
  </si>
  <si>
    <t>XLOOKUP</t>
  </si>
  <si>
    <t>NAME</t>
  </si>
  <si>
    <t>DEPT</t>
  </si>
  <si>
    <t>SALARY</t>
  </si>
  <si>
    <t xml:space="preserve">TO FIND NAME </t>
  </si>
  <si>
    <t>TO FIND DEPT</t>
  </si>
  <si>
    <t>A</t>
  </si>
  <si>
    <t>QA</t>
  </si>
  <si>
    <t>B</t>
  </si>
  <si>
    <t>DEV</t>
  </si>
  <si>
    <t>C</t>
  </si>
  <si>
    <t>D</t>
  </si>
  <si>
    <t>E</t>
  </si>
  <si>
    <t>VLOOKUP</t>
  </si>
  <si>
    <t>Travels colum wise</t>
  </si>
  <si>
    <t>travels row wise</t>
  </si>
  <si>
    <t>travels all direction</t>
  </si>
  <si>
    <t>AND</t>
  </si>
  <si>
    <t>OR</t>
  </si>
  <si>
    <t>AGE</t>
  </si>
  <si>
    <t>COUNTRY</t>
  </si>
  <si>
    <t>INDIA</t>
  </si>
  <si>
    <t>RUSSIA</t>
  </si>
  <si>
    <t>USA</t>
  </si>
  <si>
    <t>AND IS T ONLY WHEN T AND T</t>
  </si>
  <si>
    <t>OR IS F ONLY WHEN F AND F</t>
  </si>
  <si>
    <t>UK</t>
  </si>
  <si>
    <t>MATCH GIVES ROW NUMBER</t>
  </si>
  <si>
    <t>COLUM KUDTHUTU INDEX KUDTHA COLUMLA IRKARA VALUE KUDKUM</t>
  </si>
  <si>
    <t>MATCH</t>
  </si>
  <si>
    <t>INDEX(H5,B:B,B4)</t>
  </si>
  <si>
    <t>INDEX+MATCH</t>
  </si>
  <si>
    <t>EMPPJONE</t>
  </si>
  <si>
    <t>UNIQUE VALUES ARE CALLED AS LOOKUP VALUES</t>
  </si>
  <si>
    <t>EXCEL REVERSELA TRAVEL PANATHU FOR THAT WE USE INDEX AND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</si>
</sst>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2" borderId="0" xfId="0" applyNumberFormat="1" applyFill="1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a2041d0da4ce15/Desktop/EXCEL%20BESANT.xlsx" TargetMode="External"/><Relationship Id="rId1" Type="http://schemas.openxmlformats.org/officeDocument/2006/relationships/externalLinkPath" Target="/5fa2041d0da4ce15/Desktop/EXCEL%20BESA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e &amp;time"/>
      <sheetName val="string"/>
      <sheetName val="SUM,AVG&amp;COUNT IF and ifs"/>
      <sheetName val="IF CONDITION"/>
      <sheetName val="INDEX AND MATCH"/>
      <sheetName val="AND OR"/>
      <sheetName val="V,H,X LOOKUP"/>
    </sheetNames>
    <sheetDataSet>
      <sheetData sheetId="0"/>
      <sheetData sheetId="1"/>
      <sheetData sheetId="2"/>
      <sheetData sheetId="3"/>
      <sheetData sheetId="4">
        <row r="4">
          <cell r="A4" t="str">
            <v>EMPID</v>
          </cell>
          <cell r="B4" t="str">
            <v>EMPNAME</v>
          </cell>
          <cell r="C4" t="str">
            <v>EMPPHONE</v>
          </cell>
          <cell r="D4" t="str">
            <v>EMPSALARY</v>
          </cell>
        </row>
        <row r="5">
          <cell r="A5">
            <v>101</v>
          </cell>
          <cell r="B5" t="str">
            <v>A1</v>
          </cell>
          <cell r="C5">
            <v>9789</v>
          </cell>
          <cell r="D5">
            <v>1400</v>
          </cell>
        </row>
        <row r="6">
          <cell r="A6">
            <v>110</v>
          </cell>
          <cell r="B6" t="str">
            <v>A2</v>
          </cell>
          <cell r="C6">
            <v>9790</v>
          </cell>
          <cell r="D6">
            <v>1450</v>
          </cell>
        </row>
        <row r="7">
          <cell r="A7">
            <v>104</v>
          </cell>
          <cell r="B7" t="str">
            <v>A3</v>
          </cell>
          <cell r="C7">
            <v>9791</v>
          </cell>
          <cell r="D7">
            <v>1250</v>
          </cell>
        </row>
        <row r="8">
          <cell r="A8">
            <v>102</v>
          </cell>
          <cell r="B8" t="str">
            <v>A4</v>
          </cell>
          <cell r="C8">
            <v>9792</v>
          </cell>
          <cell r="D8">
            <v>1600</v>
          </cell>
        </row>
        <row r="9">
          <cell r="A9">
            <v>107</v>
          </cell>
          <cell r="B9" t="str">
            <v>A5</v>
          </cell>
          <cell r="C9">
            <v>9793</v>
          </cell>
          <cell r="D9">
            <v>1800</v>
          </cell>
        </row>
        <row r="10">
          <cell r="A10">
            <v>103</v>
          </cell>
          <cell r="B10" t="str">
            <v>A6</v>
          </cell>
          <cell r="C10">
            <v>9794</v>
          </cell>
          <cell r="D10">
            <v>1400</v>
          </cell>
        </row>
        <row r="11">
          <cell r="A11">
            <v>105</v>
          </cell>
          <cell r="B11" t="str">
            <v>A7</v>
          </cell>
          <cell r="C11">
            <v>9795</v>
          </cell>
          <cell r="D11">
            <v>2000</v>
          </cell>
        </row>
        <row r="12">
          <cell r="A12">
            <v>106</v>
          </cell>
          <cell r="B12" t="str">
            <v>A8</v>
          </cell>
          <cell r="C12">
            <v>9796</v>
          </cell>
          <cell r="D12">
            <v>1400</v>
          </cell>
        </row>
        <row r="13">
          <cell r="A13">
            <v>109</v>
          </cell>
          <cell r="B13" t="str">
            <v>A8</v>
          </cell>
          <cell r="C13">
            <v>9797</v>
          </cell>
          <cell r="D13">
            <v>2000</v>
          </cell>
        </row>
        <row r="14">
          <cell r="A14">
            <v>108</v>
          </cell>
          <cell r="B14" t="str">
            <v>A9</v>
          </cell>
          <cell r="C14">
            <v>9798</v>
          </cell>
          <cell r="D14">
            <v>1400</v>
          </cell>
        </row>
        <row r="17">
          <cell r="A17" t="str">
            <v>UNIQUE VALUES ARE CALLED AS LOOKUP VALUES</v>
          </cell>
        </row>
        <row r="18">
          <cell r="A18" t="str">
            <v>EXCEL REVERSELA TRAVEL PANATHU FOR THAT WE USE INDEX AND MATCH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B238-F0A1-4370-BCEC-C435970E5BE1}">
  <dimension ref="A3:T27"/>
  <sheetViews>
    <sheetView workbookViewId="0">
      <selection activeCell="E16" sqref="E16"/>
    </sheetView>
  </sheetViews>
  <sheetFormatPr defaultRowHeight="14.4" x14ac:dyDescent="0.3"/>
  <cols>
    <col min="8" max="9" width="10.33203125" bestFit="1" customWidth="1"/>
  </cols>
  <sheetData>
    <row r="3" spans="1:14" x14ac:dyDescent="0.3">
      <c r="A3" s="1" t="s">
        <v>0</v>
      </c>
      <c r="B3" s="1" t="s">
        <v>1</v>
      </c>
      <c r="C3" s="1" t="s">
        <v>2</v>
      </c>
      <c r="D3" s="1" t="s">
        <v>3</v>
      </c>
      <c r="I3" s="1"/>
      <c r="J3" s="1" t="s">
        <v>1</v>
      </c>
      <c r="K3" s="1" t="s">
        <v>2</v>
      </c>
      <c r="L3" s="1" t="s">
        <v>4</v>
      </c>
      <c r="M3" s="1"/>
      <c r="N3" s="1" t="s">
        <v>5</v>
      </c>
    </row>
    <row r="4" spans="1:14" x14ac:dyDescent="0.3">
      <c r="A4" s="1">
        <v>101</v>
      </c>
      <c r="B4" s="1" t="s">
        <v>6</v>
      </c>
      <c r="C4" s="1">
        <v>9789</v>
      </c>
      <c r="D4" s="1">
        <v>1400</v>
      </c>
      <c r="I4" s="1">
        <v>110</v>
      </c>
      <c r="J4" s="1" t="str">
        <f>VLOOKUP(I4,'[1]INDEX AND MATCH'!A:D,2,FALSE)</f>
        <v>A2</v>
      </c>
      <c r="K4" s="1">
        <f>VLOOKUP(I5,'[1]INDEX AND MATCH'!A:D,3,0)</f>
        <v>9795</v>
      </c>
      <c r="L4" s="1">
        <f>_xlfn.IFNA(VLOOKUP(I4,'[1]INDEX AND MATCH'!A:D,3,FALSE),"VALUE IS NOT AVAILABLE")</f>
        <v>9790</v>
      </c>
      <c r="M4" s="1" t="s">
        <v>6</v>
      </c>
      <c r="N4" s="1">
        <f>INDEX('[1]INDEX AND MATCH'!A:A,MATCH(M4,'[1]INDEX AND MATCH'!B:B,0))</f>
        <v>101</v>
      </c>
    </row>
    <row r="5" spans="1:14" x14ac:dyDescent="0.3">
      <c r="A5" s="1">
        <v>110</v>
      </c>
      <c r="B5" s="1" t="s">
        <v>7</v>
      </c>
      <c r="C5" s="1">
        <v>9790</v>
      </c>
      <c r="D5" s="1">
        <v>1450</v>
      </c>
      <c r="I5" s="1">
        <v>105</v>
      </c>
      <c r="J5" s="1" t="str">
        <f>VLOOKUP(I5,'[1]INDEX AND MATCH'!A:D,2,FALSE)</f>
        <v>A7</v>
      </c>
      <c r="K5" s="1">
        <f>VLOOKUP(I6,'[1]INDEX AND MATCH'!A:D,3,0)</f>
        <v>9793</v>
      </c>
      <c r="L5" s="1">
        <f>_xlfn.IFNA(VLOOKUP(I5,'[1]INDEX AND MATCH'!A:D,3,FALSE),"VALUE IS NOT AVAILABLE")</f>
        <v>9795</v>
      </c>
      <c r="M5" s="1" t="s">
        <v>7</v>
      </c>
      <c r="N5" s="1">
        <f>INDEX('[1]INDEX AND MATCH'!A:A,MATCH(M5,'[1]INDEX AND MATCH'!B:B,0))</f>
        <v>110</v>
      </c>
    </row>
    <row r="6" spans="1:14" x14ac:dyDescent="0.3">
      <c r="A6" s="1">
        <v>104</v>
      </c>
      <c r="B6" s="1" t="s">
        <v>8</v>
      </c>
      <c r="C6" s="1">
        <v>9791</v>
      </c>
      <c r="D6" s="1">
        <v>1250</v>
      </c>
      <c r="H6" s="2">
        <v>46063</v>
      </c>
      <c r="I6" s="1">
        <v>107</v>
      </c>
      <c r="J6" s="1" t="str">
        <f>VLOOKUP(I6,'[1]INDEX AND MATCH'!A:D,2,FALSE)</f>
        <v>A5</v>
      </c>
      <c r="K6" s="1" t="e">
        <f>VLOOKUP(I7,'[1]INDEX AND MATCH'!A:D,3,0)</f>
        <v>#N/A</v>
      </c>
      <c r="L6" s="1">
        <f>_xlfn.IFNA(VLOOKUP(I6,'[1]INDEX AND MATCH'!A:D,3,FALSE),"VALUE IS NOT AVAILABLE")</f>
        <v>9793</v>
      </c>
      <c r="M6" s="1" t="s">
        <v>8</v>
      </c>
      <c r="N6" s="1">
        <f>INDEX('[1]INDEX AND MATCH'!A:A,MATCH(M6,'[1]INDEX AND MATCH'!B:B,0))</f>
        <v>104</v>
      </c>
    </row>
    <row r="7" spans="1:14" x14ac:dyDescent="0.3">
      <c r="A7" s="1">
        <v>102</v>
      </c>
      <c r="B7" s="1" t="s">
        <v>9</v>
      </c>
      <c r="C7" s="1">
        <v>9792</v>
      </c>
      <c r="D7" s="1">
        <v>1600</v>
      </c>
      <c r="I7" s="1">
        <v>113</v>
      </c>
      <c r="J7" s="1"/>
      <c r="K7" s="1" t="e">
        <f>VLOOKUP(I8,'[1]INDEX AND MATCH'!A:D,3,0)</f>
        <v>#N/A</v>
      </c>
      <c r="L7" s="1" t="str">
        <f>_xlfn.IFNA(VLOOKUP(I7,'[1]INDEX AND MATCH'!A:D,3,FALSE),"VALUE IS NOT AVAILABLE")</f>
        <v>VALUE IS NOT AVAILABLE</v>
      </c>
      <c r="M7" s="1"/>
      <c r="N7" s="1"/>
    </row>
    <row r="8" spans="1:14" x14ac:dyDescent="0.3">
      <c r="A8" s="1">
        <v>107</v>
      </c>
      <c r="B8" s="1" t="s">
        <v>10</v>
      </c>
      <c r="C8" s="1">
        <v>9793</v>
      </c>
      <c r="D8" s="1">
        <v>1800</v>
      </c>
    </row>
    <row r="9" spans="1:14" x14ac:dyDescent="0.3">
      <c r="A9" s="1">
        <v>103</v>
      </c>
      <c r="B9" s="1" t="s">
        <v>11</v>
      </c>
      <c r="C9" s="1">
        <v>9794</v>
      </c>
      <c r="D9" s="1">
        <v>1400</v>
      </c>
    </row>
    <row r="10" spans="1:14" x14ac:dyDescent="0.3">
      <c r="A10" s="1">
        <v>105</v>
      </c>
      <c r="B10" s="1" t="s">
        <v>12</v>
      </c>
      <c r="C10" s="1">
        <v>9795</v>
      </c>
      <c r="D10" s="1">
        <v>2000</v>
      </c>
    </row>
    <row r="11" spans="1:14" x14ac:dyDescent="0.3">
      <c r="A11" s="1">
        <v>106</v>
      </c>
      <c r="B11" s="1" t="s">
        <v>13</v>
      </c>
      <c r="C11" s="1">
        <v>9796</v>
      </c>
      <c r="D11" s="1">
        <v>1400</v>
      </c>
    </row>
    <row r="12" spans="1:14" x14ac:dyDescent="0.3">
      <c r="A12" s="1">
        <v>109</v>
      </c>
      <c r="B12" s="1" t="s">
        <v>13</v>
      </c>
      <c r="C12" s="1">
        <v>9797</v>
      </c>
      <c r="D12" s="1">
        <v>2000</v>
      </c>
    </row>
    <row r="13" spans="1:14" x14ac:dyDescent="0.3">
      <c r="A13" s="1">
        <v>108</v>
      </c>
      <c r="B13" s="1" t="s">
        <v>14</v>
      </c>
      <c r="C13" s="1">
        <v>9798</v>
      </c>
      <c r="D13" s="1">
        <v>1400</v>
      </c>
    </row>
    <row r="16" spans="1:14" x14ac:dyDescent="0.3">
      <c r="B16" s="3" t="s">
        <v>15</v>
      </c>
    </row>
    <row r="18" spans="1:20" x14ac:dyDescent="0.3">
      <c r="A18" s="1"/>
      <c r="B18" s="1" t="s">
        <v>16</v>
      </c>
      <c r="C18" s="1" t="s">
        <v>17</v>
      </c>
      <c r="D18" s="1" t="s">
        <v>18</v>
      </c>
      <c r="F18" s="1"/>
      <c r="G18" s="1" t="s">
        <v>19</v>
      </c>
      <c r="H18" s="1" t="s">
        <v>20</v>
      </c>
      <c r="I18" s="1" t="s">
        <v>21</v>
      </c>
      <c r="J18" s="1" t="s">
        <v>22</v>
      </c>
      <c r="L18" t="s">
        <v>23</v>
      </c>
      <c r="S18" t="s">
        <v>24</v>
      </c>
      <c r="T18" t="s">
        <v>24</v>
      </c>
    </row>
    <row r="19" spans="1:20" x14ac:dyDescent="0.3">
      <c r="A19" s="1" t="s">
        <v>19</v>
      </c>
      <c r="B19" s="1"/>
      <c r="C19" s="1"/>
      <c r="D19" s="1"/>
      <c r="F19" s="1" t="s">
        <v>16</v>
      </c>
      <c r="G19" s="1">
        <v>400</v>
      </c>
      <c r="H19" s="1">
        <v>450</v>
      </c>
      <c r="I19" s="1">
        <v>100</v>
      </c>
      <c r="J19" s="1">
        <v>5000</v>
      </c>
      <c r="L19">
        <f>HLOOKUP("MARCH",G18:J22,3,FALSE)</f>
        <v>250</v>
      </c>
      <c r="N19" s="1" t="s">
        <v>0</v>
      </c>
      <c r="O19" s="1" t="s">
        <v>25</v>
      </c>
      <c r="P19" s="1" t="s">
        <v>26</v>
      </c>
      <c r="Q19" s="1" t="s">
        <v>27</v>
      </c>
      <c r="R19" s="1"/>
      <c r="S19" s="1" t="s">
        <v>28</v>
      </c>
      <c r="T19" s="1" t="s">
        <v>29</v>
      </c>
    </row>
    <row r="20" spans="1:20" x14ac:dyDescent="0.3">
      <c r="A20" s="1" t="s">
        <v>20</v>
      </c>
      <c r="B20" s="1"/>
      <c r="C20" s="1"/>
      <c r="D20" s="1"/>
      <c r="F20" s="1" t="s">
        <v>17</v>
      </c>
      <c r="G20" s="1">
        <v>140</v>
      </c>
      <c r="H20" s="1">
        <v>150</v>
      </c>
      <c r="I20" s="1">
        <v>250</v>
      </c>
      <c r="J20" s="1">
        <v>1700</v>
      </c>
      <c r="L20">
        <f>HLOOKUP("FEB",G18:J21,3,FALSE)</f>
        <v>150</v>
      </c>
      <c r="N20" s="1">
        <v>101</v>
      </c>
      <c r="O20" s="1" t="s">
        <v>30</v>
      </c>
      <c r="P20" s="1" t="s">
        <v>31</v>
      </c>
      <c r="Q20" s="1">
        <v>1000</v>
      </c>
      <c r="R20" s="1"/>
      <c r="S20" s="1" t="str">
        <f>_xlfn.XLOOKUP(104,N$16:N$28,O$16:O$28,"NOT AVAILABLE",0)</f>
        <v>D</v>
      </c>
      <c r="T20" s="1" t="str">
        <f>_xlfn.XLOOKUP(102,N$16:N$28,P$16:P$28,"NOT FOUND",0)</f>
        <v>DEV</v>
      </c>
    </row>
    <row r="21" spans="1:20" x14ac:dyDescent="0.3">
      <c r="A21" s="1" t="s">
        <v>21</v>
      </c>
      <c r="B21" s="1"/>
      <c r="C21" s="1"/>
      <c r="D21" s="1"/>
      <c r="F21" s="1" t="s">
        <v>18</v>
      </c>
      <c r="G21" s="1">
        <v>25</v>
      </c>
      <c r="H21" s="1">
        <v>50</v>
      </c>
      <c r="I21" s="1">
        <v>60</v>
      </c>
      <c r="J21" s="1">
        <v>75</v>
      </c>
      <c r="N21" s="1">
        <v>102</v>
      </c>
      <c r="O21" s="1" t="s">
        <v>32</v>
      </c>
      <c r="P21" s="1" t="s">
        <v>33</v>
      </c>
      <c r="Q21" s="1">
        <v>2000</v>
      </c>
      <c r="R21" s="1"/>
      <c r="S21" s="1"/>
      <c r="T21" s="1"/>
    </row>
    <row r="22" spans="1:20" x14ac:dyDescent="0.3">
      <c r="A22" s="1" t="s">
        <v>22</v>
      </c>
      <c r="B22" s="1"/>
      <c r="C22" s="1"/>
      <c r="D22" s="1"/>
      <c r="F22" s="1"/>
      <c r="G22" s="1"/>
      <c r="H22" s="1"/>
      <c r="I22" s="1"/>
      <c r="J22" s="1"/>
      <c r="N22" s="1">
        <v>103</v>
      </c>
      <c r="O22" s="1" t="s">
        <v>34</v>
      </c>
      <c r="P22" s="1" t="s">
        <v>31</v>
      </c>
      <c r="Q22" s="1">
        <v>1500</v>
      </c>
      <c r="R22" s="1"/>
      <c r="S22" s="1"/>
      <c r="T22" s="1"/>
    </row>
    <row r="23" spans="1:20" x14ac:dyDescent="0.3">
      <c r="N23" s="1">
        <v>104</v>
      </c>
      <c r="O23" s="1" t="s">
        <v>35</v>
      </c>
      <c r="P23" s="1" t="s">
        <v>33</v>
      </c>
      <c r="Q23" s="1">
        <v>3000</v>
      </c>
      <c r="R23" s="1"/>
      <c r="S23" s="1"/>
      <c r="T23" s="1"/>
    </row>
    <row r="24" spans="1:20" x14ac:dyDescent="0.3">
      <c r="H24" s="4" t="s">
        <v>23</v>
      </c>
      <c r="N24" s="1">
        <v>104</v>
      </c>
      <c r="O24" s="1" t="s">
        <v>36</v>
      </c>
      <c r="P24" s="1" t="s">
        <v>33</v>
      </c>
      <c r="Q24" s="1">
        <v>2500</v>
      </c>
      <c r="R24" s="1"/>
      <c r="S24" s="1"/>
      <c r="T24" s="1"/>
    </row>
    <row r="25" spans="1:20" x14ac:dyDescent="0.3">
      <c r="B25" s="4" t="s">
        <v>37</v>
      </c>
    </row>
    <row r="26" spans="1:20" x14ac:dyDescent="0.3">
      <c r="B26" t="s">
        <v>38</v>
      </c>
      <c r="F26" t="s">
        <v>39</v>
      </c>
      <c r="O26" s="4" t="s">
        <v>24</v>
      </c>
    </row>
    <row r="27" spans="1:20" x14ac:dyDescent="0.3">
      <c r="I27" s="5">
        <v>46064</v>
      </c>
      <c r="Q2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E2B9-20DC-4320-BA45-002976B05F11}">
  <dimension ref="D3:L16"/>
  <sheetViews>
    <sheetView workbookViewId="0">
      <selection activeCell="F4" sqref="F4"/>
    </sheetView>
  </sheetViews>
  <sheetFormatPr defaultRowHeight="14.4" x14ac:dyDescent="0.3"/>
  <cols>
    <col min="4" max="4" width="10.33203125" bestFit="1" customWidth="1"/>
  </cols>
  <sheetData>
    <row r="3" spans="4:12" x14ac:dyDescent="0.3">
      <c r="K3" t="s">
        <v>41</v>
      </c>
      <c r="L3" t="s">
        <v>42</v>
      </c>
    </row>
    <row r="4" spans="4:12" x14ac:dyDescent="0.3">
      <c r="D4" s="2">
        <v>46063</v>
      </c>
      <c r="H4" s="1" t="s">
        <v>43</v>
      </c>
      <c r="I4" s="1" t="s">
        <v>44</v>
      </c>
    </row>
    <row r="5" spans="4:12" x14ac:dyDescent="0.3">
      <c r="H5" s="1">
        <v>18</v>
      </c>
      <c r="I5" s="1" t="s">
        <v>45</v>
      </c>
      <c r="K5" t="b">
        <f t="shared" ref="K5:K16" si="0">AND(H5&lt;18,I5="INDIA")</f>
        <v>0</v>
      </c>
      <c r="L5" t="b">
        <f>OR(H5&lt;18,I5="INDIA")</f>
        <v>1</v>
      </c>
    </row>
    <row r="6" spans="4:12" x14ac:dyDescent="0.3">
      <c r="H6" s="1">
        <v>21</v>
      </c>
      <c r="I6" s="1" t="s">
        <v>46</v>
      </c>
      <c r="K6" t="b">
        <f t="shared" si="0"/>
        <v>0</v>
      </c>
      <c r="L6" t="b">
        <f t="shared" ref="L6:L16" si="1">OR(H6&lt;18,I6="INDIA")</f>
        <v>0</v>
      </c>
    </row>
    <row r="7" spans="4:12" x14ac:dyDescent="0.3">
      <c r="H7" s="1">
        <v>14</v>
      </c>
      <c r="I7" s="1" t="s">
        <v>47</v>
      </c>
      <c r="K7" t="b">
        <f t="shared" si="0"/>
        <v>0</v>
      </c>
      <c r="L7" t="b">
        <f t="shared" si="1"/>
        <v>1</v>
      </c>
    </row>
    <row r="8" spans="4:12" x14ac:dyDescent="0.3">
      <c r="D8" t="s">
        <v>48</v>
      </c>
      <c r="H8" s="1">
        <v>13</v>
      </c>
      <c r="I8" s="1" t="s">
        <v>46</v>
      </c>
      <c r="K8" t="b">
        <f t="shared" si="0"/>
        <v>0</v>
      </c>
      <c r="L8" t="b">
        <f t="shared" si="1"/>
        <v>1</v>
      </c>
    </row>
    <row r="9" spans="4:12" x14ac:dyDescent="0.3">
      <c r="D9" t="s">
        <v>49</v>
      </c>
      <c r="H9" s="1">
        <v>17</v>
      </c>
      <c r="I9" s="1" t="s">
        <v>45</v>
      </c>
      <c r="K9" t="b">
        <f t="shared" si="0"/>
        <v>1</v>
      </c>
      <c r="L9" t="b">
        <f t="shared" si="1"/>
        <v>1</v>
      </c>
    </row>
    <row r="10" spans="4:12" x14ac:dyDescent="0.3">
      <c r="H10" s="1">
        <v>19</v>
      </c>
      <c r="I10" s="1" t="s">
        <v>50</v>
      </c>
      <c r="K10" t="b">
        <f t="shared" si="0"/>
        <v>0</v>
      </c>
      <c r="L10" t="b">
        <f t="shared" si="1"/>
        <v>0</v>
      </c>
    </row>
    <row r="11" spans="4:12" x14ac:dyDescent="0.3">
      <c r="H11" s="1">
        <v>20</v>
      </c>
      <c r="I11" s="1" t="s">
        <v>45</v>
      </c>
      <c r="K11" t="b">
        <f t="shared" si="0"/>
        <v>0</v>
      </c>
      <c r="L11" t="b">
        <f t="shared" si="1"/>
        <v>1</v>
      </c>
    </row>
    <row r="12" spans="4:12" x14ac:dyDescent="0.3">
      <c r="H12" s="1">
        <v>65</v>
      </c>
      <c r="I12" s="1" t="s">
        <v>45</v>
      </c>
      <c r="K12" t="b">
        <f t="shared" si="0"/>
        <v>0</v>
      </c>
      <c r="L12" t="b">
        <f t="shared" si="1"/>
        <v>1</v>
      </c>
    </row>
    <row r="13" spans="4:12" x14ac:dyDescent="0.3">
      <c r="H13" s="1">
        <v>43</v>
      </c>
      <c r="I13" s="1" t="s">
        <v>47</v>
      </c>
      <c r="K13" t="b">
        <f t="shared" si="0"/>
        <v>0</v>
      </c>
      <c r="L13" t="b">
        <f t="shared" si="1"/>
        <v>0</v>
      </c>
    </row>
    <row r="14" spans="4:12" x14ac:dyDescent="0.3">
      <c r="H14" s="1">
        <v>21</v>
      </c>
      <c r="I14" s="1" t="s">
        <v>50</v>
      </c>
      <c r="K14" t="b">
        <f t="shared" si="0"/>
        <v>0</v>
      </c>
      <c r="L14" t="b">
        <f t="shared" si="1"/>
        <v>0</v>
      </c>
    </row>
    <row r="15" spans="4:12" x14ac:dyDescent="0.3">
      <c r="H15" s="1">
        <v>19</v>
      </c>
      <c r="I15" s="1" t="s">
        <v>47</v>
      </c>
      <c r="K15" t="b">
        <f t="shared" si="0"/>
        <v>0</v>
      </c>
      <c r="L15" t="b">
        <f t="shared" si="1"/>
        <v>0</v>
      </c>
    </row>
    <row r="16" spans="4:12" x14ac:dyDescent="0.3">
      <c r="H16" s="1">
        <v>17</v>
      </c>
      <c r="I16" s="1" t="s">
        <v>50</v>
      </c>
      <c r="K16" t="b">
        <f t="shared" si="0"/>
        <v>0</v>
      </c>
      <c r="L16" t="b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2CB2-EDE2-4EAE-A51F-3FD5632AD6F4}">
  <dimension ref="A2:J18"/>
  <sheetViews>
    <sheetView tabSelected="1" workbookViewId="0">
      <selection activeCell="G8" sqref="G8"/>
    </sheetView>
  </sheetViews>
  <sheetFormatPr defaultRowHeight="14.4" x14ac:dyDescent="0.3"/>
  <cols>
    <col min="8" max="8" width="26.21875" customWidth="1"/>
    <col min="9" max="9" width="15.6640625" customWidth="1"/>
    <col min="10" max="10" width="17.88671875" customWidth="1"/>
    <col min="11" max="11" width="10.33203125" bestFit="1" customWidth="1"/>
    <col min="12" max="12" width="15.88671875" customWidth="1"/>
    <col min="14" max="14" width="11.109375" customWidth="1"/>
    <col min="15" max="15" width="21.44140625" bestFit="1" customWidth="1"/>
    <col min="17" max="17" width="12.6640625" bestFit="1" customWidth="1"/>
    <col min="19" max="19" width="13.21875" bestFit="1" customWidth="1"/>
    <col min="20" max="20" width="12.109375" bestFit="1" customWidth="1"/>
  </cols>
  <sheetData>
    <row r="2" spans="1:10" x14ac:dyDescent="0.3">
      <c r="H2" t="s">
        <v>51</v>
      </c>
      <c r="I2" t="s">
        <v>52</v>
      </c>
    </row>
    <row r="3" spans="1:10" x14ac:dyDescent="0.3">
      <c r="G3" s="1"/>
      <c r="H3" s="1" t="s">
        <v>53</v>
      </c>
      <c r="I3" s="1" t="s">
        <v>54</v>
      </c>
      <c r="J3" s="1" t="s">
        <v>55</v>
      </c>
    </row>
    <row r="4" spans="1:10" x14ac:dyDescent="0.3">
      <c r="A4" s="1" t="s">
        <v>0</v>
      </c>
      <c r="B4" s="1" t="s">
        <v>1</v>
      </c>
      <c r="C4" s="1" t="s">
        <v>2</v>
      </c>
      <c r="D4" s="1" t="s">
        <v>3</v>
      </c>
      <c r="G4" s="1" t="s">
        <v>0</v>
      </c>
      <c r="H4" s="1" t="s">
        <v>56</v>
      </c>
      <c r="I4" s="1"/>
      <c r="J4" s="1"/>
    </row>
    <row r="5" spans="1:10" x14ac:dyDescent="0.3">
      <c r="A5" s="1">
        <v>101</v>
      </c>
      <c r="B5" s="1" t="s">
        <v>6</v>
      </c>
      <c r="C5" s="1">
        <v>9789</v>
      </c>
      <c r="D5" s="1">
        <v>1400</v>
      </c>
      <c r="G5" s="1">
        <v>106</v>
      </c>
      <c r="H5" s="1">
        <f>MATCH(G5,A:A,0)</f>
        <v>12</v>
      </c>
      <c r="I5" s="1" cm="1">
        <f t="array" ref="I5">INDEX(C:C,H5)</f>
        <v>9796</v>
      </c>
      <c r="J5" s="1">
        <f>INDEX(C:C,MATCH(A7,A:A,0))</f>
        <v>9791</v>
      </c>
    </row>
    <row r="6" spans="1:10" x14ac:dyDescent="0.3">
      <c r="A6" s="1">
        <v>110</v>
      </c>
      <c r="B6" s="1" t="s">
        <v>7</v>
      </c>
      <c r="C6" s="1">
        <v>9790</v>
      </c>
      <c r="D6" s="1">
        <v>1450</v>
      </c>
      <c r="G6" s="1">
        <v>108</v>
      </c>
      <c r="H6" s="1">
        <f>MATCH(G6,A:A,0)</f>
        <v>14</v>
      </c>
      <c r="I6" s="1" cm="1">
        <f t="array" ref="I6">INDEX(C:C,H6)</f>
        <v>9798</v>
      </c>
      <c r="J6" s="1">
        <f>INDEX(C:C,MATCH(A8,A:A,0))</f>
        <v>9792</v>
      </c>
    </row>
    <row r="7" spans="1:10" x14ac:dyDescent="0.3">
      <c r="A7" s="1">
        <v>104</v>
      </c>
      <c r="B7" s="1" t="s">
        <v>8</v>
      </c>
      <c r="C7" s="1">
        <v>9791</v>
      </c>
      <c r="D7" s="1">
        <v>1250</v>
      </c>
      <c r="G7" s="1">
        <v>103</v>
      </c>
      <c r="H7" s="1">
        <f>MATCH(G7,A:A,0)</f>
        <v>10</v>
      </c>
      <c r="I7" s="1" cm="1">
        <f t="array" ref="I7">INDEX(C:C,H7)</f>
        <v>9794</v>
      </c>
      <c r="J7" s="1">
        <f>INDEX(C:C,MATCH(A9,A:A,0))</f>
        <v>9793</v>
      </c>
    </row>
    <row r="8" spans="1:10" x14ac:dyDescent="0.3">
      <c r="A8" s="1">
        <v>102</v>
      </c>
      <c r="B8" s="1" t="s">
        <v>9</v>
      </c>
      <c r="C8" s="1">
        <v>9792</v>
      </c>
      <c r="D8" s="1">
        <v>1600</v>
      </c>
    </row>
    <row r="9" spans="1:10" x14ac:dyDescent="0.3">
      <c r="A9" s="1">
        <v>107</v>
      </c>
      <c r="B9" s="1" t="s">
        <v>10</v>
      </c>
      <c r="C9" s="1">
        <v>9793</v>
      </c>
      <c r="D9" s="1">
        <v>1800</v>
      </c>
    </row>
    <row r="10" spans="1:10" x14ac:dyDescent="0.3">
      <c r="A10" s="1">
        <v>103</v>
      </c>
      <c r="B10" s="1" t="s">
        <v>11</v>
      </c>
      <c r="C10" s="1">
        <v>9794</v>
      </c>
      <c r="D10" s="1">
        <v>1400</v>
      </c>
    </row>
    <row r="11" spans="1:10" x14ac:dyDescent="0.3">
      <c r="A11" s="1">
        <v>105</v>
      </c>
      <c r="B11" s="1" t="s">
        <v>12</v>
      </c>
      <c r="C11" s="1">
        <v>9795</v>
      </c>
      <c r="D11" s="1">
        <v>2000</v>
      </c>
    </row>
    <row r="12" spans="1:10" x14ac:dyDescent="0.3">
      <c r="A12" s="1">
        <v>106</v>
      </c>
      <c r="B12" s="1" t="s">
        <v>13</v>
      </c>
      <c r="C12" s="1">
        <v>9796</v>
      </c>
      <c r="D12" s="1">
        <v>1400</v>
      </c>
    </row>
    <row r="13" spans="1:10" x14ac:dyDescent="0.3">
      <c r="A13" s="1">
        <v>109</v>
      </c>
      <c r="B13" s="1" t="s">
        <v>13</v>
      </c>
      <c r="C13" s="1">
        <v>9797</v>
      </c>
      <c r="D13" s="1">
        <v>2000</v>
      </c>
    </row>
    <row r="14" spans="1:10" x14ac:dyDescent="0.3">
      <c r="A14" s="1">
        <v>108</v>
      </c>
      <c r="B14" s="1" t="s">
        <v>14</v>
      </c>
      <c r="C14" s="1">
        <v>9798</v>
      </c>
      <c r="D14" s="1">
        <v>1400</v>
      </c>
    </row>
    <row r="17" spans="1:1" x14ac:dyDescent="0.3">
      <c r="A17" t="s">
        <v>57</v>
      </c>
    </row>
    <row r="18" spans="1:1" x14ac:dyDescent="0.3">
      <c r="A1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</vt:lpstr>
      <vt:lpstr>AND OR</vt:lpstr>
      <vt:lpstr>IF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Subashree Selvakumar</dc:creator>
  <cp:lastModifiedBy>Subashree Selvakumar</cp:lastModifiedBy>
  <dcterms:created xsi:type="dcterms:W3CDTF">2026-02-11T14:07:45Z</dcterms:created>
  <dcterms:modified xsi:type="dcterms:W3CDTF">2026-02-11T14:09:46Z</dcterms:modified>
</cp:coreProperties>
</file>