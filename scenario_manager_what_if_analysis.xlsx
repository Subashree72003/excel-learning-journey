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e909ce7960985f/Desktop/excel/"/>
    </mc:Choice>
  </mc:AlternateContent>
  <xr:revisionPtr revIDLastSave="26" documentId="8_{0C5F8B5E-F41E-4EE5-BABA-02F4665B85AA}" xr6:coauthVersionLast="47" xr6:coauthVersionMax="47" xr10:uidLastSave="{CB5E7E74-09D6-4752-82A5-6B12E137F6F5}"/>
  <bookViews>
    <workbookView xWindow="-110" yWindow="-110" windowWidth="19420" windowHeight="10300" activeTab="3" xr2:uid="{1B7C30AE-0843-4047-9309-2F62AB9B5DDC}"/>
  </bookViews>
  <sheets>
    <sheet name="Scenario Summary" sheetId="3" r:id="rId1"/>
    <sheet name="Scenario Summary 2" sheetId="4" r:id="rId2"/>
    <sheet name="Sheet1" sheetId="1" r:id="rId3"/>
    <sheet name="Data table" sheetId="6" r:id="rId4"/>
    <sheet name="goal seek" sheetId="7" r:id="rId5"/>
  </sheets>
  <definedNames>
    <definedName name="clothes">Sheet1!$B$14</definedName>
    <definedName name="electricity_bill">Sheet1!$B$10</definedName>
    <definedName name="Expenses">Sheet1!$B$8</definedName>
    <definedName name="food">Sheet1!$B$16</definedName>
    <definedName name="fuel">Sheet1!$B$15</definedName>
    <definedName name="internet_bill">Sheet1!$B$12</definedName>
    <definedName name="mobile_bill">Sheet1!$B$11</definedName>
    <definedName name="personal_loan">Sheet1!$B$17</definedName>
    <definedName name="rent">Sheet1!$B$9</definedName>
    <definedName name="total_expenses">Sheet1!$B$18</definedName>
    <definedName name="water_bill">Sheet1!$B$13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7" l="1"/>
  <c r="B7" i="7"/>
  <c r="B5" i="6"/>
  <c r="B8" i="6" s="1"/>
  <c r="B18" i="1"/>
  <c r="B21" i="1" s="1"/>
  <c r="B5" i="1"/>
</calcChain>
</file>

<file path=xl/sharedStrings.xml><?xml version="1.0" encoding="utf-8"?>
<sst xmlns="http://schemas.openxmlformats.org/spreadsheetml/2006/main" count="83" uniqueCount="55">
  <si>
    <t>particularsAmt</t>
  </si>
  <si>
    <t>income from salary</t>
  </si>
  <si>
    <t>income from wife</t>
  </si>
  <si>
    <t>income from other source</t>
  </si>
  <si>
    <t>Amt</t>
  </si>
  <si>
    <t>total income</t>
  </si>
  <si>
    <t>Expenses</t>
  </si>
  <si>
    <t>rent</t>
  </si>
  <si>
    <t>electricity bill</t>
  </si>
  <si>
    <t>mobile bill</t>
  </si>
  <si>
    <t>internet bill</t>
  </si>
  <si>
    <t>water bill</t>
  </si>
  <si>
    <t>clothes</t>
  </si>
  <si>
    <t>fuel</t>
  </si>
  <si>
    <t>food</t>
  </si>
  <si>
    <t>personal loan</t>
  </si>
  <si>
    <t>total expenses</t>
  </si>
  <si>
    <t>income left</t>
  </si>
  <si>
    <t>$B$10</t>
  </si>
  <si>
    <t>$B$21</t>
  </si>
  <si>
    <t>SC!</t>
  </si>
  <si>
    <t>Created by admin on 2/23/2026</t>
  </si>
  <si>
    <t>SC@</t>
  </si>
  <si>
    <t>SC3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</si>
  <si>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</si>
  <si>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</si>
  <si>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</si>
  <si>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</si>
  <si>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</si>
  <si>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</si>
  <si>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</si>
  <si>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personal_loan</t>
  </si>
  <si>
    <t>electricity_bill</t>
  </si>
  <si>
    <t>mobile_bill</t>
  </si>
  <si>
    <t>internet_bill</t>
  </si>
  <si>
    <t>water_bill</t>
  </si>
  <si>
    <t>trial1</t>
  </si>
  <si>
    <t>trial2</t>
  </si>
  <si>
    <t>trial3</t>
  </si>
  <si>
    <t>Loan amount</t>
  </si>
  <si>
    <t>no.of years</t>
  </si>
  <si>
    <t>payments per year</t>
  </si>
  <si>
    <t>interest rate</t>
  </si>
  <si>
    <t>monthly EMI</t>
  </si>
  <si>
    <t>Number of Years</t>
  </si>
  <si>
    <t>Interest rate</t>
  </si>
  <si>
    <t>M2</t>
  </si>
  <si>
    <t>M1</t>
  </si>
  <si>
    <t>M3</t>
  </si>
  <si>
    <t>M4</t>
  </si>
  <si>
    <t>M5</t>
  </si>
  <si>
    <t>total</t>
  </si>
  <si>
    <t>Quantity</t>
  </si>
  <si>
    <t>price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</si>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</sst>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 [$₹-449]\ * #,##0.00_ ;_ [$₹-449]\ * \-#,##0.00_ ;_ [$₹-449]\ * &quot;-&quot;??_ ;_ @_ "/>
  </numFmts>
  <fonts count="7" x14ac:knownFonts="1">
    <font>
      <sz val="11"/>
      <color theme="1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3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4" xfId="0" applyFill="1" applyBorder="1" applyAlignment="1"/>
    <xf numFmtId="0" fontId="2" fillId="3" borderId="0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0" fontId="4" fillId="2" borderId="3" xfId="0" applyFont="1" applyFill="1" applyBorder="1" applyAlignment="1">
      <alignment horizontal="right"/>
    </xf>
    <xf numFmtId="0" fontId="0" fillId="4" borderId="0" xfId="0" applyFill="1" applyBorder="1" applyAlignment="1"/>
    <xf numFmtId="0" fontId="5" fillId="0" borderId="0" xfId="0" applyFont="1" applyFill="1" applyBorder="1" applyAlignment="1">
      <alignment vertical="top" wrapText="1"/>
    </xf>
    <xf numFmtId="10" fontId="0" fillId="0" borderId="0" xfId="0" applyNumberFormat="1"/>
    <xf numFmtId="164" fontId="0" fillId="0" borderId="0" xfId="1" applyNumberFormat="1" applyFont="1"/>
    <xf numFmtId="9" fontId="0" fillId="0" borderId="0" xfId="0" applyNumberFormat="1"/>
    <xf numFmtId="164" fontId="0" fillId="0" borderId="0" xfId="0" applyNumberFormat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 textRotation="255" indent="13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98E72-C8F4-4A3F-A77E-BE4C6631E369}">
  <sheetPr>
    <outlinePr summaryBelow="0"/>
  </sheetPr>
  <dimension ref="B1:G15"/>
  <sheetViews>
    <sheetView showGridLines="0" workbookViewId="0"/>
  </sheetViews>
  <sheetFormatPr defaultRowHeight="14.5" outlineLevelRow="1" outlineLevelCol="1" x14ac:dyDescent="0.35"/>
  <cols>
    <col min="3" max="3" width="12.54296875" bestFit="1" customWidth="1"/>
    <col min="4" max="7" width="12.1796875" bestFit="1" customWidth="1" outlineLevel="1"/>
  </cols>
  <sheetData>
    <row r="1" spans="2:7" ht="15" thickBot="1" x14ac:dyDescent="0.4"/>
    <row r="2" spans="2:7" ht="16" x14ac:dyDescent="0.4">
      <c r="B2" s="4" t="s">
        <v>24</v>
      </c>
      <c r="C2" s="4"/>
      <c r="D2" s="9"/>
      <c r="E2" s="9"/>
      <c r="F2" s="9"/>
      <c r="G2" s="9"/>
    </row>
    <row r="3" spans="2:7" ht="16" collapsed="1" x14ac:dyDescent="0.4">
      <c r="B3" s="3"/>
      <c r="C3" s="3"/>
      <c r="D3" s="10" t="s">
        <v>26</v>
      </c>
      <c r="E3" s="10" t="s">
        <v>20</v>
      </c>
      <c r="F3" s="10" t="s">
        <v>22</v>
      </c>
      <c r="G3" s="10" t="s">
        <v>23</v>
      </c>
    </row>
    <row r="4" spans="2:7" ht="21" hidden="1" outlineLevel="1" x14ac:dyDescent="0.35">
      <c r="B4" s="6"/>
      <c r="C4" s="6"/>
      <c r="D4" s="1"/>
      <c r="E4" s="12" t="s">
        <v>21</v>
      </c>
      <c r="F4" s="12" t="s">
        <v>21</v>
      </c>
      <c r="G4" s="12" t="s">
        <v>21</v>
      </c>
    </row>
    <row r="5" spans="2:7" x14ac:dyDescent="0.35">
      <c r="B5" s="7" t="s">
        <v>25</v>
      </c>
      <c r="C5" s="7"/>
      <c r="D5" s="5"/>
      <c r="E5" s="5"/>
      <c r="F5" s="5"/>
      <c r="G5" s="5"/>
    </row>
    <row r="6" spans="2:7" outlineLevel="1" x14ac:dyDescent="0.35">
      <c r="B6" s="6"/>
      <c r="C6" s="6" t="s">
        <v>7</v>
      </c>
      <c r="D6" s="1">
        <v>18000</v>
      </c>
      <c r="E6" s="11">
        <v>10000</v>
      </c>
      <c r="F6" s="1">
        <v>18000</v>
      </c>
      <c r="G6" s="1">
        <v>18000</v>
      </c>
    </row>
    <row r="7" spans="2:7" outlineLevel="1" x14ac:dyDescent="0.35">
      <c r="B7" s="6"/>
      <c r="C7" s="6" t="s">
        <v>14</v>
      </c>
      <c r="D7" s="1">
        <v>15000</v>
      </c>
      <c r="E7" s="11">
        <v>7500</v>
      </c>
      <c r="F7" s="11">
        <v>10000</v>
      </c>
      <c r="G7" s="11">
        <v>9000</v>
      </c>
    </row>
    <row r="8" spans="2:7" outlineLevel="1" x14ac:dyDescent="0.35">
      <c r="B8" s="6"/>
      <c r="C8" s="6" t="s">
        <v>31</v>
      </c>
      <c r="D8" s="1">
        <v>20000</v>
      </c>
      <c r="E8" s="11">
        <v>10000</v>
      </c>
      <c r="F8" s="11">
        <v>10000</v>
      </c>
      <c r="G8" s="11">
        <v>9000</v>
      </c>
    </row>
    <row r="9" spans="2:7" outlineLevel="1" x14ac:dyDescent="0.35">
      <c r="B9" s="6"/>
      <c r="C9" s="6" t="s">
        <v>12</v>
      </c>
      <c r="D9" s="1">
        <v>15000</v>
      </c>
      <c r="E9" s="11">
        <v>7500</v>
      </c>
      <c r="F9" s="11">
        <v>5000</v>
      </c>
      <c r="G9" s="11">
        <v>9000</v>
      </c>
    </row>
    <row r="10" spans="2:7" outlineLevel="1" x14ac:dyDescent="0.35">
      <c r="B10" s="6"/>
      <c r="C10" s="6" t="s">
        <v>18</v>
      </c>
      <c r="D10" s="1">
        <v>2500</v>
      </c>
      <c r="E10" s="1">
        <v>2500</v>
      </c>
      <c r="F10" s="11">
        <v>14000</v>
      </c>
      <c r="G10" s="11">
        <v>1000</v>
      </c>
    </row>
    <row r="11" spans="2:7" x14ac:dyDescent="0.35">
      <c r="B11" s="7" t="s">
        <v>27</v>
      </c>
      <c r="C11" s="7"/>
      <c r="D11" s="5"/>
      <c r="E11" s="5"/>
      <c r="F11" s="5"/>
      <c r="G11" s="5"/>
    </row>
    <row r="12" spans="2:7" ht="15" outlineLevel="1" thickBot="1" x14ac:dyDescent="0.4">
      <c r="B12" s="8"/>
      <c r="C12" s="8" t="s">
        <v>19</v>
      </c>
      <c r="D12" s="2">
        <v>5550</v>
      </c>
      <c r="E12" s="2">
        <v>38550</v>
      </c>
      <c r="F12" s="2">
        <v>19050</v>
      </c>
      <c r="G12" s="2">
        <v>30050</v>
      </c>
    </row>
    <row r="13" spans="2:7" x14ac:dyDescent="0.35">
      <c r="B13" t="s">
        <v>28</v>
      </c>
    </row>
    <row r="14" spans="2:7" x14ac:dyDescent="0.35">
      <c r="B14" t="s">
        <v>29</v>
      </c>
    </row>
    <row r="15" spans="2:7" x14ac:dyDescent="0.35">
      <c r="B15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3345A-1331-4205-84FA-973DD6A50BBD}">
  <sheetPr>
    <outlinePr summaryBelow="0"/>
  </sheetPr>
  <dimension ref="B1:J19"/>
  <sheetViews>
    <sheetView showGridLines="0" workbookViewId="0">
      <selection activeCell="F19" sqref="F19"/>
    </sheetView>
  </sheetViews>
  <sheetFormatPr defaultRowHeight="14.5" outlineLevelRow="1" outlineLevelCol="1" x14ac:dyDescent="0.35"/>
  <cols>
    <col min="3" max="3" width="12.90625" bestFit="1" customWidth="1"/>
    <col min="4" max="10" width="12.1796875" bestFit="1" customWidth="1" outlineLevel="1"/>
  </cols>
  <sheetData>
    <row r="1" spans="2:10" ht="15" thickBot="1" x14ac:dyDescent="0.4"/>
    <row r="2" spans="2:10" ht="16" x14ac:dyDescent="0.4">
      <c r="B2" s="4" t="s">
        <v>24</v>
      </c>
      <c r="C2" s="4"/>
      <c r="D2" s="9"/>
      <c r="E2" s="9"/>
      <c r="F2" s="9"/>
      <c r="G2" s="9"/>
      <c r="H2" s="9"/>
      <c r="I2" s="9"/>
      <c r="J2" s="9"/>
    </row>
    <row r="3" spans="2:10" ht="16" collapsed="1" x14ac:dyDescent="0.4">
      <c r="B3" s="3"/>
      <c r="C3" s="3"/>
      <c r="D3" s="10" t="s">
        <v>26</v>
      </c>
      <c r="E3" s="10" t="s">
        <v>20</v>
      </c>
      <c r="F3" s="10" t="s">
        <v>22</v>
      </c>
      <c r="G3" s="10" t="s">
        <v>23</v>
      </c>
      <c r="H3" s="10" t="s">
        <v>36</v>
      </c>
      <c r="I3" s="10" t="s">
        <v>37</v>
      </c>
      <c r="J3" s="10" t="s">
        <v>38</v>
      </c>
    </row>
    <row r="4" spans="2:10" ht="21" hidden="1" outlineLevel="1" x14ac:dyDescent="0.35">
      <c r="B4" s="6"/>
      <c r="C4" s="6"/>
      <c r="D4" s="1"/>
      <c r="E4" s="12" t="s">
        <v>21</v>
      </c>
      <c r="F4" s="12" t="s">
        <v>21</v>
      </c>
      <c r="G4" s="12" t="s">
        <v>21</v>
      </c>
      <c r="H4" s="12" t="s">
        <v>21</v>
      </c>
      <c r="I4" s="12" t="s">
        <v>21</v>
      </c>
      <c r="J4" s="12" t="s">
        <v>21</v>
      </c>
    </row>
    <row r="5" spans="2:10" x14ac:dyDescent="0.35">
      <c r="B5" s="7" t="s">
        <v>25</v>
      </c>
      <c r="C5" s="7"/>
      <c r="D5" s="5"/>
      <c r="E5" s="5"/>
      <c r="F5" s="5"/>
      <c r="G5" s="5"/>
      <c r="H5" s="5"/>
      <c r="I5" s="5"/>
      <c r="J5" s="5"/>
    </row>
    <row r="6" spans="2:10" outlineLevel="1" x14ac:dyDescent="0.35">
      <c r="B6" s="6"/>
      <c r="C6" s="6" t="s">
        <v>7</v>
      </c>
      <c r="D6" s="1">
        <v>18000</v>
      </c>
      <c r="E6" s="11">
        <v>10000</v>
      </c>
      <c r="F6" s="1">
        <v>18000</v>
      </c>
      <c r="G6" s="1">
        <v>18000</v>
      </c>
      <c r="H6" s="11">
        <v>10000</v>
      </c>
      <c r="I6" s="11">
        <v>12000</v>
      </c>
      <c r="J6" s="11">
        <v>15000</v>
      </c>
    </row>
    <row r="7" spans="2:10" outlineLevel="1" x14ac:dyDescent="0.35">
      <c r="B7" s="6"/>
      <c r="C7" s="6" t="s">
        <v>14</v>
      </c>
      <c r="D7" s="1">
        <v>15000</v>
      </c>
      <c r="E7" s="11">
        <v>7500</v>
      </c>
      <c r="F7" s="11">
        <v>10000</v>
      </c>
      <c r="G7" s="11">
        <v>9000</v>
      </c>
      <c r="H7" s="11">
        <v>10000</v>
      </c>
      <c r="I7" s="11">
        <v>15000</v>
      </c>
      <c r="J7" s="11">
        <v>15000</v>
      </c>
    </row>
    <row r="8" spans="2:10" outlineLevel="1" x14ac:dyDescent="0.35">
      <c r="B8" s="6"/>
      <c r="C8" s="6" t="s">
        <v>31</v>
      </c>
      <c r="D8" s="1">
        <v>20000</v>
      </c>
      <c r="E8" s="11">
        <v>10000</v>
      </c>
      <c r="F8" s="11">
        <v>10000</v>
      </c>
      <c r="G8" s="11">
        <v>9000</v>
      </c>
      <c r="H8" s="11">
        <v>3000</v>
      </c>
      <c r="I8" s="11">
        <v>18000</v>
      </c>
      <c r="J8" s="11">
        <v>1000</v>
      </c>
    </row>
    <row r="9" spans="2:10" outlineLevel="1" x14ac:dyDescent="0.35">
      <c r="B9" s="6"/>
      <c r="C9" s="6" t="s">
        <v>12</v>
      </c>
      <c r="D9" s="1">
        <v>15000</v>
      </c>
      <c r="E9" s="11">
        <v>7500</v>
      </c>
      <c r="F9" s="11">
        <v>5000</v>
      </c>
      <c r="G9" s="11">
        <v>9000</v>
      </c>
      <c r="H9" s="11">
        <v>20000</v>
      </c>
      <c r="I9" s="11">
        <v>13000</v>
      </c>
      <c r="J9" s="11">
        <v>15000</v>
      </c>
    </row>
    <row r="10" spans="2:10" outlineLevel="1" x14ac:dyDescent="0.35">
      <c r="B10" s="6"/>
      <c r="C10" s="6" t="s">
        <v>32</v>
      </c>
      <c r="D10" s="1">
        <v>2500</v>
      </c>
      <c r="E10" s="1">
        <v>2500</v>
      </c>
      <c r="F10" s="11">
        <v>14000</v>
      </c>
      <c r="G10" s="11">
        <v>1000</v>
      </c>
      <c r="H10" s="11">
        <v>3000</v>
      </c>
      <c r="I10" s="1">
        <v>2500</v>
      </c>
      <c r="J10" s="11">
        <v>4000</v>
      </c>
    </row>
    <row r="11" spans="2:10" outlineLevel="1" x14ac:dyDescent="0.35">
      <c r="B11" s="6"/>
      <c r="C11" s="6" t="s">
        <v>33</v>
      </c>
      <c r="D11" s="1">
        <v>1250</v>
      </c>
      <c r="E11" s="1">
        <v>1250</v>
      </c>
      <c r="F11" s="1">
        <v>1250</v>
      </c>
      <c r="G11" s="1">
        <v>1250</v>
      </c>
      <c r="H11" s="11">
        <v>900</v>
      </c>
      <c r="I11" s="1">
        <v>1250</v>
      </c>
      <c r="J11" s="11">
        <v>1200</v>
      </c>
    </row>
    <row r="12" spans="2:10" outlineLevel="1" x14ac:dyDescent="0.35">
      <c r="B12" s="6"/>
      <c r="C12" s="6" t="s">
        <v>34</v>
      </c>
      <c r="D12" s="1">
        <v>1500</v>
      </c>
      <c r="E12" s="1">
        <v>1500</v>
      </c>
      <c r="F12" s="1">
        <v>1500</v>
      </c>
      <c r="G12" s="1">
        <v>1500</v>
      </c>
      <c r="H12" s="11">
        <v>1500</v>
      </c>
      <c r="I12" s="1">
        <v>1500</v>
      </c>
      <c r="J12" s="11">
        <v>1000</v>
      </c>
    </row>
    <row r="13" spans="2:10" outlineLevel="1" x14ac:dyDescent="0.35">
      <c r="B13" s="6"/>
      <c r="C13" s="6" t="s">
        <v>35</v>
      </c>
      <c r="D13" s="1">
        <v>1200</v>
      </c>
      <c r="E13" s="1">
        <v>1200</v>
      </c>
      <c r="F13" s="1">
        <v>1200</v>
      </c>
      <c r="G13" s="1">
        <v>1200</v>
      </c>
      <c r="H13" s="11">
        <v>1200</v>
      </c>
      <c r="I13" s="1">
        <v>1200</v>
      </c>
      <c r="J13" s="11">
        <v>800</v>
      </c>
    </row>
    <row r="14" spans="2:10" outlineLevel="1" x14ac:dyDescent="0.35">
      <c r="B14" s="6"/>
      <c r="C14" s="6" t="s">
        <v>13</v>
      </c>
      <c r="D14" s="1">
        <v>10000</v>
      </c>
      <c r="E14" s="1">
        <v>10000</v>
      </c>
      <c r="F14" s="1">
        <v>10000</v>
      </c>
      <c r="G14" s="1">
        <v>10000</v>
      </c>
      <c r="H14" s="11">
        <v>10000</v>
      </c>
      <c r="I14" s="1">
        <v>10000</v>
      </c>
      <c r="J14" s="11">
        <v>7000</v>
      </c>
    </row>
    <row r="15" spans="2:10" x14ac:dyDescent="0.35">
      <c r="B15" s="7" t="s">
        <v>27</v>
      </c>
      <c r="C15" s="7"/>
      <c r="D15" s="5"/>
      <c r="E15" s="5"/>
      <c r="F15" s="5"/>
      <c r="G15" s="5"/>
      <c r="H15" s="5"/>
      <c r="I15" s="5"/>
      <c r="J15" s="5"/>
    </row>
    <row r="16" spans="2:10" ht="15" outlineLevel="1" thickBot="1" x14ac:dyDescent="0.4">
      <c r="B16" s="8"/>
      <c r="C16" s="8" t="s">
        <v>19</v>
      </c>
      <c r="D16" s="2">
        <v>5550</v>
      </c>
      <c r="E16" s="2">
        <v>38550</v>
      </c>
      <c r="F16" s="2">
        <v>19050</v>
      </c>
      <c r="G16" s="2">
        <v>30050</v>
      </c>
      <c r="H16" s="2">
        <v>30400</v>
      </c>
      <c r="I16" s="2">
        <v>15550</v>
      </c>
      <c r="J16" s="2">
        <v>30000</v>
      </c>
    </row>
    <row r="17" spans="2:2" x14ac:dyDescent="0.35">
      <c r="B17" t="s">
        <v>28</v>
      </c>
    </row>
    <row r="18" spans="2:2" x14ac:dyDescent="0.35">
      <c r="B18" t="s">
        <v>29</v>
      </c>
    </row>
    <row r="19" spans="2:2" x14ac:dyDescent="0.35">
      <c r="B19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D323E-77EF-4838-90AC-7407E04DADBF}">
  <dimension ref="A1:B21"/>
  <sheetViews>
    <sheetView zoomScale="154" workbookViewId="0">
      <selection activeCell="C21" sqref="C21"/>
    </sheetView>
  </sheetViews>
  <sheetFormatPr defaultRowHeight="14.5" x14ac:dyDescent="0.35"/>
  <cols>
    <col min="1" max="1" width="21.7265625" bestFit="1" customWidth="1"/>
  </cols>
  <sheetData>
    <row r="1" spans="1:2" x14ac:dyDescent="0.35">
      <c r="A1" t="s">
        <v>0</v>
      </c>
      <c r="B1" t="s">
        <v>4</v>
      </c>
    </row>
    <row r="2" spans="1:2" x14ac:dyDescent="0.35">
      <c r="A2" t="s">
        <v>1</v>
      </c>
      <c r="B2">
        <v>50000</v>
      </c>
    </row>
    <row r="3" spans="1:2" x14ac:dyDescent="0.35">
      <c r="A3" t="s">
        <v>2</v>
      </c>
      <c r="B3">
        <v>25000</v>
      </c>
    </row>
    <row r="4" spans="1:2" x14ac:dyDescent="0.35">
      <c r="A4" t="s">
        <v>3</v>
      </c>
      <c r="B4">
        <v>15000</v>
      </c>
    </row>
    <row r="5" spans="1:2" x14ac:dyDescent="0.35">
      <c r="A5" t="s">
        <v>5</v>
      </c>
      <c r="B5">
        <f>SUM(B2:B4)</f>
        <v>90000</v>
      </c>
    </row>
    <row r="8" spans="1:2" x14ac:dyDescent="0.35">
      <c r="A8" t="s">
        <v>6</v>
      </c>
      <c r="B8" t="s">
        <v>4</v>
      </c>
    </row>
    <row r="9" spans="1:2" x14ac:dyDescent="0.35">
      <c r="A9" t="s">
        <v>7</v>
      </c>
      <c r="B9">
        <v>18000</v>
      </c>
    </row>
    <row r="10" spans="1:2" x14ac:dyDescent="0.35">
      <c r="A10" t="s">
        <v>8</v>
      </c>
      <c r="B10">
        <v>2500</v>
      </c>
    </row>
    <row r="11" spans="1:2" x14ac:dyDescent="0.35">
      <c r="A11" t="s">
        <v>9</v>
      </c>
      <c r="B11">
        <v>1250</v>
      </c>
    </row>
    <row r="12" spans="1:2" x14ac:dyDescent="0.35">
      <c r="A12" t="s">
        <v>10</v>
      </c>
      <c r="B12">
        <v>1500</v>
      </c>
    </row>
    <row r="13" spans="1:2" x14ac:dyDescent="0.35">
      <c r="A13" t="s">
        <v>11</v>
      </c>
      <c r="B13">
        <v>1200</v>
      </c>
    </row>
    <row r="14" spans="1:2" x14ac:dyDescent="0.35">
      <c r="A14" t="s">
        <v>12</v>
      </c>
      <c r="B14">
        <v>15000</v>
      </c>
    </row>
    <row r="15" spans="1:2" x14ac:dyDescent="0.35">
      <c r="A15" t="s">
        <v>13</v>
      </c>
      <c r="B15">
        <v>10000</v>
      </c>
    </row>
    <row r="16" spans="1:2" x14ac:dyDescent="0.35">
      <c r="A16" t="s">
        <v>14</v>
      </c>
      <c r="B16">
        <v>15000</v>
      </c>
    </row>
    <row r="17" spans="1:2" x14ac:dyDescent="0.35">
      <c r="A17" t="s">
        <v>15</v>
      </c>
      <c r="B17">
        <v>20000</v>
      </c>
    </row>
    <row r="18" spans="1:2" x14ac:dyDescent="0.35">
      <c r="A18" t="s">
        <v>16</v>
      </c>
      <c r="B18">
        <f>SUM(B9:B17)</f>
        <v>84450</v>
      </c>
    </row>
    <row r="21" spans="1:2" x14ac:dyDescent="0.35">
      <c r="A21" t="s">
        <v>17</v>
      </c>
      <c r="B21">
        <f>SUM(B5-B18)</f>
        <v>5550</v>
      </c>
    </row>
  </sheetData>
  <scenarios current="3" sqref="B21">
    <scenario name="SC!" locked="1" count="4" user="admin" comment="Created by admin on 2/23/2026">
      <inputCells r="B9" val="10000"/>
      <inputCells r="B16" val="7500"/>
      <inputCells r="B17" val="10000"/>
      <inputCells r="B14" val="7500"/>
    </scenario>
    <scenario name="SC@" locked="1" count="4" user="admin" comment="Created by admin on 2/23/2026">
      <inputCells r="B10" val="14000"/>
      <inputCells r="B16" val="10000"/>
      <inputCells r="B17" val="10000"/>
      <inputCells r="B14" val="5000"/>
    </scenario>
    <scenario name="SC3" locked="1" count="4" user="admin" comment="Created by admin on 2/23/2026">
      <inputCells r="B10" val="1000"/>
      <inputCells r="B16" val="9000"/>
      <inputCells r="B17" val="9000"/>
      <inputCells r="B14" val="9000"/>
    </scenario>
    <scenario name="trial1" locked="1" count="9" user="admin" comment="Created by admin on 2/23/2026">
      <inputCells r="B9" val="10000"/>
      <inputCells r="B10" val="3000"/>
      <inputCells r="B11" val="900"/>
      <inputCells r="B12" val="1500"/>
      <inputCells r="B13" val="1200"/>
      <inputCells r="B14" val="20000"/>
      <inputCells r="B15" val="10000"/>
      <inputCells r="B16" val="10000"/>
      <inputCells r="B17" val="3000"/>
    </scenario>
    <scenario name="trial2" locked="1" count="4" user="admin" comment="Created by admin on 2/23/2026">
      <inputCells r="B9" val="12000"/>
      <inputCells r="B16" val="15000"/>
      <inputCells r="B17" val="18000"/>
      <inputCells r="B14" val="13000"/>
    </scenario>
    <scenario name="trial3" locked="1" count="9" user="admin" comment="Created by admin on 2/23/2026">
      <inputCells r="B9" val="15000"/>
      <inputCells r="B10" val="4000"/>
      <inputCells r="B11" val="1200"/>
      <inputCells r="B12" val="1000"/>
      <inputCells r="B13" val="800"/>
      <inputCells r="B14" val="15000"/>
      <inputCells r="B15" val="7000"/>
      <inputCells r="B16" val="15000"/>
      <inputCells r="B17" val="1000"/>
    </scenario>
  </scenario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39D60-0319-4185-B8B6-4C64049DA643}">
  <dimension ref="A1:K80"/>
  <sheetViews>
    <sheetView tabSelected="1" topLeftCell="A6" zoomScale="123" workbookViewId="0">
      <selection activeCell="B8" sqref="B8"/>
    </sheetView>
  </sheetViews>
  <sheetFormatPr defaultRowHeight="14.5" x14ac:dyDescent="0.35"/>
  <cols>
    <col min="1" max="1" width="15.6328125" bestFit="1" customWidth="1"/>
    <col min="2" max="2" width="11.26953125" bestFit="1" customWidth="1"/>
  </cols>
  <sheetData>
    <row r="1" spans="1:11" x14ac:dyDescent="0.35">
      <c r="A1" t="s">
        <v>39</v>
      </c>
      <c r="B1">
        <v>500000</v>
      </c>
    </row>
    <row r="2" spans="1:11" x14ac:dyDescent="0.35">
      <c r="A2" t="s">
        <v>40</v>
      </c>
      <c r="B2">
        <v>3</v>
      </c>
    </row>
    <row r="3" spans="1:11" x14ac:dyDescent="0.35">
      <c r="A3" t="s">
        <v>41</v>
      </c>
      <c r="B3">
        <v>12</v>
      </c>
    </row>
    <row r="4" spans="1:11" x14ac:dyDescent="0.35">
      <c r="A4" t="s">
        <v>42</v>
      </c>
      <c r="B4" s="13">
        <v>0.22</v>
      </c>
    </row>
    <row r="5" spans="1:11" x14ac:dyDescent="0.35">
      <c r="A5" t="s">
        <v>43</v>
      </c>
      <c r="B5" s="14">
        <f>PMT(B4/12,B2*B3,-B1)</f>
        <v>19095.226589054746</v>
      </c>
    </row>
    <row r="7" spans="1:11" x14ac:dyDescent="0.35">
      <c r="C7" s="17" t="s">
        <v>44</v>
      </c>
      <c r="D7" s="17"/>
      <c r="E7" s="17"/>
      <c r="F7" s="17"/>
      <c r="G7" s="17"/>
      <c r="H7" s="17"/>
      <c r="I7" s="17"/>
      <c r="J7" s="17"/>
      <c r="K7" s="17"/>
    </row>
    <row r="8" spans="1:11" x14ac:dyDescent="0.35">
      <c r="B8" s="16">
        <f>B5</f>
        <v>19095.226589054746</v>
      </c>
      <c r="C8">
        <v>2</v>
      </c>
      <c r="D8">
        <v>3</v>
      </c>
      <c r="E8">
        <v>4</v>
      </c>
      <c r="F8">
        <v>5</v>
      </c>
      <c r="G8">
        <v>6</v>
      </c>
      <c r="H8">
        <v>7</v>
      </c>
      <c r="I8">
        <v>8</v>
      </c>
      <c r="J8">
        <v>9</v>
      </c>
      <c r="K8">
        <v>10</v>
      </c>
    </row>
    <row r="9" spans="1:11" x14ac:dyDescent="0.35">
      <c r="A9" s="18" t="s">
        <v>45</v>
      </c>
      <c r="B9" s="15">
        <v>0.12</v>
      </c>
      <c r="C9">
        <f t="dataTable" ref="C9:J30" dt2D="1" dtr="1" r1="B2" r2="B4"/>
        <v>23536.736111632352</v>
      </c>
      <c r="D9">
        <v>16607.154906425596</v>
      </c>
      <c r="E9">
        <v>13166.917715963882</v>
      </c>
      <c r="F9">
        <v>11122.223842450885</v>
      </c>
      <c r="G9">
        <v>9775.0962513495215</v>
      </c>
      <c r="H9">
        <v>8826.3663985369094</v>
      </c>
      <c r="I9">
        <v>8126.4207128693361</v>
      </c>
      <c r="J9">
        <v>7592.1163058807342</v>
      </c>
    </row>
    <row r="10" spans="1:11" x14ac:dyDescent="0.35">
      <c r="A10" s="18"/>
      <c r="B10" s="13">
        <v>0.125</v>
      </c>
      <c r="C10">
        <v>23653.654117749757</v>
      </c>
      <c r="D10">
        <v>16726.812788358264</v>
      </c>
      <c r="E10">
        <v>13289.999445885594</v>
      </c>
      <c r="F10">
        <v>11248.96911270792</v>
      </c>
      <c r="G10">
        <v>9905.5893508175304</v>
      </c>
      <c r="H10">
        <v>8960.6192131575845</v>
      </c>
      <c r="I10">
        <v>8264.4043249079168</v>
      </c>
      <c r="J10">
        <v>7733.7755088004469</v>
      </c>
    </row>
    <row r="11" spans="1:11" x14ac:dyDescent="0.35">
      <c r="A11" s="18"/>
      <c r="B11" s="15">
        <v>0.13</v>
      </c>
      <c r="C11">
        <v>23770.911294225505</v>
      </c>
      <c r="D11">
        <v>16846.976001645886</v>
      </c>
      <c r="E11">
        <v>13413.747946882448</v>
      </c>
      <c r="F11">
        <v>11376.536522112012</v>
      </c>
      <c r="G11">
        <v>10037.052603222286</v>
      </c>
      <c r="H11">
        <v>9095.9816743878364</v>
      </c>
      <c r="I11">
        <v>8403.6275323129321</v>
      </c>
      <c r="J11">
        <v>7876.793842695587</v>
      </c>
    </row>
    <row r="12" spans="1:11" x14ac:dyDescent="0.35">
      <c r="A12" s="18"/>
      <c r="B12" s="13">
        <v>0.13500000000000001</v>
      </c>
      <c r="C12">
        <v>23888.507261548493</v>
      </c>
      <c r="D12">
        <v>16967.643665490486</v>
      </c>
      <c r="E12">
        <v>13538.161476775076</v>
      </c>
      <c r="F12">
        <v>11504.923008443515</v>
      </c>
      <c r="G12">
        <v>10169.481086262203</v>
      </c>
      <c r="H12">
        <v>9232.4463983512887</v>
      </c>
      <c r="I12">
        <v>8544.0798485066844</v>
      </c>
      <c r="J12">
        <v>8021.1570603031014</v>
      </c>
    </row>
    <row r="13" spans="1:11" x14ac:dyDescent="0.35">
      <c r="A13" s="18"/>
      <c r="B13" s="15">
        <v>0.14000000000000001</v>
      </c>
      <c r="C13">
        <v>24006.441634194063</v>
      </c>
      <c r="D13">
        <v>17088.814879012811</v>
      </c>
      <c r="E13">
        <v>13663.238247523457</v>
      </c>
      <c r="F13">
        <v>11634.125424693848</v>
      </c>
      <c r="G13">
        <v>10302.869741186032</v>
      </c>
      <c r="H13">
        <v>9370.0058027645664</v>
      </c>
      <c r="I13">
        <v>8685.7505207118375</v>
      </c>
      <c r="J13">
        <v>8166.8505808687769</v>
      </c>
    </row>
    <row r="14" spans="1:11" x14ac:dyDescent="0.35">
      <c r="A14" s="18"/>
      <c r="B14" s="13">
        <v>0.14499999999999999</v>
      </c>
      <c r="C14">
        <v>24124.714020655421</v>
      </c>
      <c r="D14">
        <v>17210.488721406869</v>
      </c>
      <c r="E14">
        <v>13788.976425744277</v>
      </c>
      <c r="F14">
        <v>11764.140540429034</v>
      </c>
      <c r="G14">
        <v>10437.213375831208</v>
      </c>
      <c r="H14">
        <v>9508.6521129090524</v>
      </c>
      <c r="I14">
        <v>8828.6285405945855</v>
      </c>
      <c r="J14">
        <v>8313.8595076768925</v>
      </c>
    </row>
    <row r="15" spans="1:11" x14ac:dyDescent="0.35">
      <c r="A15" s="18"/>
      <c r="B15" s="15">
        <v>0.15</v>
      </c>
      <c r="C15">
        <v>24243.324023475507</v>
      </c>
      <c r="D15">
        <v>17332.664252097064</v>
      </c>
      <c r="E15">
        <v>13915.374133238123</v>
      </c>
      <c r="F15">
        <v>11894.965043179367</v>
      </c>
      <c r="G15">
        <v>10572.506667715666</v>
      </c>
      <c r="H15">
        <v>9648.3773676907495</v>
      </c>
      <c r="I15">
        <v>8972.7026550229202</v>
      </c>
      <c r="J15">
        <v>8462.1686456842726</v>
      </c>
    </row>
    <row r="16" spans="1:11" x14ac:dyDescent="0.35">
      <c r="A16" s="18"/>
      <c r="B16" s="13">
        <v>0.155</v>
      </c>
      <c r="C16">
        <v>24362.271239279045</v>
      </c>
      <c r="D16">
        <v>17455.340510897717</v>
      </c>
      <c r="E16">
        <v>14042.429447526143</v>
      </c>
      <c r="F16">
        <v>12026.595539854026</v>
      </c>
      <c r="G16">
        <v>10708.744167179688</v>
      </c>
      <c r="H16">
        <v>9789.1734257794997</v>
      </c>
      <c r="I16">
        <v>9117.9613769210573</v>
      </c>
      <c r="J16">
        <v>8611.7625192216183</v>
      </c>
    </row>
    <row r="17" spans="1:10" x14ac:dyDescent="0.35">
      <c r="A17" s="18"/>
      <c r="B17" s="15">
        <v>0.16</v>
      </c>
      <c r="C17">
        <v>24481.555258805023</v>
      </c>
      <c r="D17">
        <v>17578.516518175049</v>
      </c>
      <c r="E17">
        <v>14170.140402395935</v>
      </c>
      <c r="F17">
        <v>12159.028558179567</v>
      </c>
      <c r="G17">
        <v>10845.920300574446</v>
      </c>
      <c r="H17">
        <v>9931.0319718190094</v>
      </c>
      <c r="I17">
        <v>9264.3929962011644</v>
      </c>
      <c r="J17">
        <v>8762.6253897257466</v>
      </c>
    </row>
    <row r="18" spans="1:10" x14ac:dyDescent="0.35">
      <c r="A18" s="18"/>
      <c r="B18" s="13">
        <v>0.16500000000000001</v>
      </c>
      <c r="C18">
        <v>24601.175666939431</v>
      </c>
      <c r="D18">
        <v>17702.191275011483</v>
      </c>
      <c r="E18">
        <v>14298.50498845638</v>
      </c>
      <c r="F18">
        <v>12292.260548161155</v>
      </c>
      <c r="G18">
        <v>10984.029373493764</v>
      </c>
      <c r="H18">
        <v>10073.944522698996</v>
      </c>
      <c r="I18">
        <v>9411.9855907537458</v>
      </c>
      <c r="J18">
        <v>8914.7412734672653</v>
      </c>
    </row>
    <row r="19" spans="1:10" x14ac:dyDescent="0.35">
      <c r="A19" s="18"/>
      <c r="B19" s="15">
        <v>0.17</v>
      </c>
      <c r="C19">
        <v>24721.132042748304</v>
      </c>
      <c r="D19">
        <v>17826.363763372337</v>
      </c>
      <c r="E19">
        <v>14427.521153701129</v>
      </c>
      <c r="F19">
        <v>12426.287883565385</v>
      </c>
      <c r="G19">
        <v>11123.065574045686</v>
      </c>
      <c r="H19">
        <v>10217.902433881003</v>
      </c>
      <c r="I19">
        <v>9560.7270374784766</v>
      </c>
      <c r="J19">
        <v>9068.0939592390878</v>
      </c>
    </row>
    <row r="20" spans="1:10" x14ac:dyDescent="0.35">
      <c r="A20" s="18"/>
      <c r="B20" s="13">
        <v>0.17499999999999999</v>
      </c>
      <c r="C20">
        <v>24841.423959511099</v>
      </c>
      <c r="D20">
        <v>17951.032946274663</v>
      </c>
      <c r="E20">
        <v>14557.186804080444</v>
      </c>
      <c r="F20">
        <v>12561.1068634236</v>
      </c>
      <c r="G20">
        <v>11263.02297616041</v>
      </c>
      <c r="H20">
        <v>10362.896905769323</v>
      </c>
      <c r="I20">
        <v>9710.6050233374026</v>
      </c>
      <c r="J20">
        <v>9222.6670259722687</v>
      </c>
    </row>
    <row r="21" spans="1:10" x14ac:dyDescent="0.35">
      <c r="A21" s="18"/>
      <c r="B21" s="15">
        <v>0.18</v>
      </c>
      <c r="C21">
        <v>24962.050984754358</v>
      </c>
      <c r="D21">
        <v>18076.197767958416</v>
      </c>
      <c r="E21">
        <v>14687.499804081104</v>
      </c>
      <c r="F21">
        <v>12696.713713554542</v>
      </c>
      <c r="G21">
        <v>11403.895542931239</v>
      </c>
      <c r="H21">
        <v>10508.918990118649</v>
      </c>
      <c r="I21">
        <v>9861.6070564129295</v>
      </c>
      <c r="J21">
        <v>9378.4438602467872</v>
      </c>
    </row>
    <row r="22" spans="1:10" x14ac:dyDescent="0.35">
      <c r="A22" s="18"/>
      <c r="B22" s="13">
        <v>0.185</v>
      </c>
      <c r="C22">
        <v>25083.012680285628</v>
      </c>
      <c r="D22">
        <v>18201.857154059722</v>
      </c>
      <c r="E22">
        <v>14818.457977314114</v>
      </c>
      <c r="F22">
        <v>12833.104588105149</v>
      </c>
      <c r="G22">
        <v>11545.677129985013</v>
      </c>
      <c r="H22">
        <v>10655.959596470182</v>
      </c>
      <c r="I22">
        <v>10013.72047695336</v>
      </c>
      <c r="J22">
        <v>9535.4076736660427</v>
      </c>
    </row>
    <row r="23" spans="1:10" x14ac:dyDescent="0.35">
      <c r="A23" s="18"/>
      <c r="B23" s="15">
        <v>0.19</v>
      </c>
      <c r="C23">
        <v>25204.308602227717</v>
      </c>
      <c r="D23">
        <v>18328.010011786253</v>
      </c>
      <c r="E23">
        <v>14950.059107109848</v>
      </c>
      <c r="F23">
        <v>12970.275571108452</v>
      </c>
      <c r="G23">
        <v>11688.361488878774</v>
      </c>
      <c r="H23">
        <v>10804.009498607942</v>
      </c>
      <c r="I23">
        <v>10166.932468389219</v>
      </c>
      <c r="J23">
        <v>9693.5415200651223</v>
      </c>
    </row>
    <row r="24" spans="1:10" x14ac:dyDescent="0.35">
      <c r="A24" s="18"/>
      <c r="B24" s="13">
        <v>0.19500000000000001</v>
      </c>
      <c r="C24">
        <v>25325.938301053258</v>
      </c>
      <c r="D24">
        <v>18454.655230094701</v>
      </c>
      <c r="E24">
        <v>15082.300937120441</v>
      </c>
      <c r="F24">
        <v>13108.222678057336</v>
      </c>
      <c r="G24">
        <v>11831.942270519155</v>
      </c>
      <c r="H24">
        <v>10953.059341027294</v>
      </c>
      <c r="I24">
        <v>10321.230068303998</v>
      </c>
      <c r="J24">
        <v>9852.8283125242524</v>
      </c>
    </row>
    <row r="25" spans="1:10" x14ac:dyDescent="0.35">
      <c r="A25" s="18"/>
      <c r="B25" s="15">
        <v>0.2</v>
      </c>
      <c r="C25">
        <v>25447.901321619447</v>
      </c>
      <c r="D25">
        <v>18581.791679870224</v>
      </c>
      <c r="E25">
        <v>15215.181171928996</v>
      </c>
      <c r="F25">
        <v>13246.941857493046</v>
      </c>
      <c r="G25">
        <v>11976.413028601271</v>
      </c>
      <c r="H25">
        <v>11103.099645407709</v>
      </c>
      <c r="I25">
        <v>10476.600179343566</v>
      </c>
      <c r="J25">
        <v>10013.250840160103</v>
      </c>
    </row>
    <row r="26" spans="1:10" x14ac:dyDescent="0.35">
      <c r="A26" s="18"/>
      <c r="B26" s="13">
        <v>0.20499999999999999</v>
      </c>
      <c r="C26">
        <v>25570.197203203177</v>
      </c>
      <c r="D26">
        <v>18709.418214107871</v>
      </c>
      <c r="E26">
        <v>15348.697477665444</v>
      </c>
      <c r="F26">
        <v>13386.428992607296</v>
      </c>
      <c r="G26">
        <v>12121.767223063685</v>
      </c>
      <c r="H26">
        <v>11254.120817082037</v>
      </c>
      <c r="I26">
        <v>10633.029580048933</v>
      </c>
      <c r="J26">
        <v>10174.791784669218</v>
      </c>
    </row>
    <row r="27" spans="1:10" x14ac:dyDescent="0.35">
      <c r="A27" s="18"/>
      <c r="B27" s="15">
        <v>0.21</v>
      </c>
      <c r="C27">
        <v>25692.825479536361</v>
      </c>
      <c r="D27">
        <v>18837.533668095883</v>
      </c>
      <c r="E27">
        <v>15482.847482628649</v>
      </c>
      <c r="F27">
        <v>13526.679902856866</v>
      </c>
      <c r="G27">
        <v>12267.998223556264</v>
      </c>
      <c r="H27">
        <v>11406.113151494679</v>
      </c>
      <c r="I27">
        <v>10790.50493559763</v>
      </c>
      <c r="J27">
        <v>10337.433736599083</v>
      </c>
    </row>
    <row r="28" spans="1:10" x14ac:dyDescent="0.35">
      <c r="A28" s="18"/>
      <c r="B28" s="13">
        <v>0.215</v>
      </c>
      <c r="C28">
        <v>25815.785678841567</v>
      </c>
      <c r="D28">
        <v>18966.136859600865</v>
      </c>
      <c r="E28">
        <v>15617.628777914511</v>
      </c>
      <c r="F28">
        <v>13667.690345589477</v>
      </c>
      <c r="G28">
        <v>12415.099312917608</v>
      </c>
      <c r="H28">
        <v>11559.066840641246</v>
      </c>
      <c r="I28">
        <v>10949.012808439595</v>
      </c>
      <c r="J28">
        <v>10501.159211323997</v>
      </c>
    </row>
    <row r="29" spans="1:10" x14ac:dyDescent="0.35">
      <c r="A29" s="18"/>
      <c r="B29" s="15">
        <v>0.22</v>
      </c>
      <c r="C29">
        <v>25939.077323867874</v>
      </c>
      <c r="D29">
        <v>19095.226589054746</v>
      </c>
      <c r="E29">
        <v>15753.038918049779</v>
      </c>
      <c r="F29">
        <v>13809.456017679897</v>
      </c>
      <c r="G29">
        <v>12563.063690658917</v>
      </c>
      <c r="H29">
        <v>11712.97197948248</v>
      </c>
      <c r="I29">
        <v>11108.539668813961</v>
      </c>
      <c r="J29">
        <v>10665.950664704336</v>
      </c>
    </row>
    <row r="30" spans="1:10" x14ac:dyDescent="0.35">
      <c r="A30" s="18"/>
      <c r="B30" s="13">
        <v>0.22500000000000001</v>
      </c>
      <c r="C30">
        <v>26062.699931927044</v>
      </c>
      <c r="D30">
        <v>19224.801639743502</v>
      </c>
      <c r="E30">
        <v>15889.075421631202</v>
      </c>
      <c r="F30">
        <v>13951.97255717507</v>
      </c>
      <c r="G30">
        <v>12711.88447645108</v>
      </c>
      <c r="H30">
        <v>11867.81857232543</v>
      </c>
      <c r="I30">
        <v>11269.071905133882</v>
      </c>
      <c r="J30">
        <v>10831.790508409316</v>
      </c>
    </row>
    <row r="31" spans="1:10" x14ac:dyDescent="0.35">
      <c r="B31" s="15"/>
    </row>
    <row r="32" spans="1:10" x14ac:dyDescent="0.35">
      <c r="B32" s="13"/>
    </row>
    <row r="33" spans="2:2" x14ac:dyDescent="0.35">
      <c r="B33" s="15"/>
    </row>
    <row r="34" spans="2:2" x14ac:dyDescent="0.35">
      <c r="B34" s="13"/>
    </row>
    <row r="35" spans="2:2" x14ac:dyDescent="0.35">
      <c r="B35" s="15"/>
    </row>
    <row r="36" spans="2:2" x14ac:dyDescent="0.35">
      <c r="B36" s="13"/>
    </row>
    <row r="37" spans="2:2" x14ac:dyDescent="0.35">
      <c r="B37" s="15"/>
    </row>
    <row r="38" spans="2:2" x14ac:dyDescent="0.35">
      <c r="B38" s="13"/>
    </row>
    <row r="39" spans="2:2" x14ac:dyDescent="0.35">
      <c r="B39" s="15"/>
    </row>
    <row r="40" spans="2:2" x14ac:dyDescent="0.35">
      <c r="B40" s="13"/>
    </row>
    <row r="41" spans="2:2" x14ac:dyDescent="0.35">
      <c r="B41" s="15"/>
    </row>
    <row r="42" spans="2:2" x14ac:dyDescent="0.35">
      <c r="B42" s="13"/>
    </row>
    <row r="43" spans="2:2" x14ac:dyDescent="0.35">
      <c r="B43" s="15"/>
    </row>
    <row r="44" spans="2:2" x14ac:dyDescent="0.35">
      <c r="B44" s="13"/>
    </row>
    <row r="45" spans="2:2" x14ac:dyDescent="0.35">
      <c r="B45" s="15"/>
    </row>
    <row r="46" spans="2:2" x14ac:dyDescent="0.35">
      <c r="B46" s="13"/>
    </row>
    <row r="47" spans="2:2" x14ac:dyDescent="0.35">
      <c r="B47" s="15"/>
    </row>
    <row r="48" spans="2:2" x14ac:dyDescent="0.35">
      <c r="B48" s="13"/>
    </row>
    <row r="49" spans="2:2" x14ac:dyDescent="0.35">
      <c r="B49" s="15"/>
    </row>
    <row r="50" spans="2:2" x14ac:dyDescent="0.35">
      <c r="B50" s="13"/>
    </row>
    <row r="51" spans="2:2" x14ac:dyDescent="0.35">
      <c r="B51" s="15"/>
    </row>
    <row r="52" spans="2:2" x14ac:dyDescent="0.35">
      <c r="B52" s="13"/>
    </row>
    <row r="53" spans="2:2" x14ac:dyDescent="0.35">
      <c r="B53" s="15"/>
    </row>
    <row r="54" spans="2:2" x14ac:dyDescent="0.35">
      <c r="B54" s="13"/>
    </row>
    <row r="55" spans="2:2" x14ac:dyDescent="0.35">
      <c r="B55" s="15"/>
    </row>
    <row r="56" spans="2:2" x14ac:dyDescent="0.35">
      <c r="B56" s="13"/>
    </row>
    <row r="57" spans="2:2" x14ac:dyDescent="0.35">
      <c r="B57" s="15"/>
    </row>
    <row r="58" spans="2:2" x14ac:dyDescent="0.35">
      <c r="B58" s="13"/>
    </row>
    <row r="59" spans="2:2" x14ac:dyDescent="0.35">
      <c r="B59" s="15"/>
    </row>
    <row r="60" spans="2:2" x14ac:dyDescent="0.35">
      <c r="B60" s="13"/>
    </row>
    <row r="61" spans="2:2" x14ac:dyDescent="0.35">
      <c r="B61" s="15"/>
    </row>
    <row r="62" spans="2:2" x14ac:dyDescent="0.35">
      <c r="B62" s="13"/>
    </row>
    <row r="63" spans="2:2" x14ac:dyDescent="0.35">
      <c r="B63" s="15"/>
    </row>
    <row r="64" spans="2:2" x14ac:dyDescent="0.35">
      <c r="B64" s="13"/>
    </row>
    <row r="65" spans="2:2" x14ac:dyDescent="0.35">
      <c r="B65" s="15"/>
    </row>
    <row r="66" spans="2:2" x14ac:dyDescent="0.35">
      <c r="B66" s="13"/>
    </row>
    <row r="67" spans="2:2" x14ac:dyDescent="0.35">
      <c r="B67" s="15"/>
    </row>
    <row r="68" spans="2:2" x14ac:dyDescent="0.35">
      <c r="B68" s="13"/>
    </row>
    <row r="69" spans="2:2" x14ac:dyDescent="0.35">
      <c r="B69" s="15"/>
    </row>
    <row r="70" spans="2:2" x14ac:dyDescent="0.35">
      <c r="B70" s="13"/>
    </row>
    <row r="71" spans="2:2" x14ac:dyDescent="0.35">
      <c r="B71" s="15"/>
    </row>
    <row r="72" spans="2:2" x14ac:dyDescent="0.35">
      <c r="B72" s="13"/>
    </row>
    <row r="73" spans="2:2" x14ac:dyDescent="0.35">
      <c r="B73" s="15"/>
    </row>
    <row r="74" spans="2:2" x14ac:dyDescent="0.35">
      <c r="B74" s="13"/>
    </row>
    <row r="75" spans="2:2" x14ac:dyDescent="0.35">
      <c r="B75" s="15"/>
    </row>
    <row r="76" spans="2:2" x14ac:dyDescent="0.35">
      <c r="B76" s="13"/>
    </row>
    <row r="77" spans="2:2" x14ac:dyDescent="0.35">
      <c r="B77" s="15"/>
    </row>
    <row r="78" spans="2:2" x14ac:dyDescent="0.35">
      <c r="B78" s="13"/>
    </row>
    <row r="79" spans="2:2" x14ac:dyDescent="0.35">
      <c r="B79" s="15"/>
    </row>
    <row r="80" spans="2:2" x14ac:dyDescent="0.35">
      <c r="B80" s="13"/>
    </row>
  </sheetData>
  <mergeCells count="2">
    <mergeCell ref="C7:K7"/>
    <mergeCell ref="A9:A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7ECAD-9960-44EB-BC74-61F3A68126CC}">
  <dimension ref="A1:F7"/>
  <sheetViews>
    <sheetView topLeftCell="A4" zoomScale="160" zoomScaleNormal="160" workbookViewId="0">
      <selection activeCell="F2" sqref="F2"/>
    </sheetView>
  </sheetViews>
  <sheetFormatPr defaultRowHeight="14.5" x14ac:dyDescent="0.35"/>
  <sheetData>
    <row r="1" spans="1:6" x14ac:dyDescent="0.35">
      <c r="A1" t="s">
        <v>47</v>
      </c>
      <c r="B1">
        <v>45</v>
      </c>
      <c r="D1" t="s">
        <v>52</v>
      </c>
      <c r="E1" t="s">
        <v>53</v>
      </c>
      <c r="F1" t="s">
        <v>54</v>
      </c>
    </row>
    <row r="2" spans="1:6" x14ac:dyDescent="0.35">
      <c r="A2" t="s">
        <v>46</v>
      </c>
      <c r="B2">
        <v>50</v>
      </c>
      <c r="D2">
        <v>5</v>
      </c>
      <c r="E2">
        <v>1500</v>
      </c>
      <c r="F2">
        <f>SUM(D2*E2)</f>
        <v>7500</v>
      </c>
    </row>
    <row r="3" spans="1:6" x14ac:dyDescent="0.35">
      <c r="A3" t="s">
        <v>48</v>
      </c>
      <c r="B3">
        <v>50</v>
      </c>
    </row>
    <row r="4" spans="1:6" x14ac:dyDescent="0.35">
      <c r="A4" t="s">
        <v>49</v>
      </c>
      <c r="B4">
        <v>36</v>
      </c>
    </row>
    <row r="5" spans="1:6" x14ac:dyDescent="0.35">
      <c r="A5" t="s">
        <v>50</v>
      </c>
      <c r="B5">
        <v>59</v>
      </c>
    </row>
    <row r="7" spans="1:6" x14ac:dyDescent="0.35">
      <c r="A7" t="s">
        <v>51</v>
      </c>
      <c r="B7">
        <f>SUM(B1:B5)</f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11</vt:i4>
      </vt:variant>
    </vt:vector>
  </HeadingPairs>
  <TitlesOfParts>
    <vt:vector size="16" baseType="lpstr">
      <vt:lpstr>Scenario Summary</vt:lpstr>
      <vt:lpstr>Scenario Summary 2</vt:lpstr>
      <vt:lpstr>Sheet1</vt:lpstr>
      <vt:lpstr>Data table</vt:lpstr>
      <vt:lpstr>goal seek</vt:lpstr>
      <vt:lpstr>clothes</vt:lpstr>
      <vt:lpstr>electricity_bill</vt:lpstr>
      <vt:lpstr>Expenses</vt:lpstr>
      <vt:lpstr>food</vt:lpstr>
      <vt:lpstr>fuel</vt:lpstr>
      <vt:lpstr>internet_bill</vt:lpstr>
      <vt:lpstr>mobile_bill</vt:lpstr>
      <vt:lpstr>personal_loan</vt:lpstr>
      <vt:lpstr>rent</vt:lpstr>
      <vt:lpstr>total_expenses</vt:lpstr>
      <vt:lpstr>water_bill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2026-02-23T03:11:51Z</dcterms:created>
  <dcterms:modified xsi:type="dcterms:W3CDTF">2026-02-24T14:45:44Z</dcterms:modified>
</cp:coreProperties>
</file>