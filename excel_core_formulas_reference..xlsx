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2041d0da4ce15/Desktop/EXCEL Besent/"/>
    </mc:Choice>
  </mc:AlternateContent>
  <xr:revisionPtr revIDLastSave="2" documentId="13_ncr:1_{092BD3A7-6E55-4C82-A2B1-C9E93786D6E3}" xr6:coauthVersionLast="47" xr6:coauthVersionMax="47" xr10:uidLastSave="{CDD4BB38-5865-44F1-AED2-96D5606BA116}"/>
  <bookViews>
    <workbookView xWindow="-108" yWindow="-108" windowWidth="23256" windowHeight="12456" firstSheet="5" activeTab="8" xr2:uid="{9230D703-AA9B-4CA3-A861-97F1AE3C2A58}"/>
  </bookViews>
  <sheets>
    <sheet name="date &amp;time" sheetId="1" r:id="rId1"/>
    <sheet name="string" sheetId="3" r:id="rId2"/>
    <sheet name="SUM,AVG&amp;COUNT IF and ifs" sheetId="4" r:id="rId3"/>
    <sheet name="IF CONDITION" sheetId="5" r:id="rId4"/>
    <sheet name="INDEX AND MATCH" sheetId="7" r:id="rId5"/>
    <sheet name="AND OR" sheetId="6" r:id="rId6"/>
    <sheet name="V,H,X LOOKUP" sheetId="8" r:id="rId7"/>
    <sheet name="logical functions" sheetId="10" r:id="rId8"/>
    <sheet name="NUMERICAL FUNCTION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0" l="1"/>
  <c r="I6" i="10"/>
  <c r="J3" i="10"/>
  <c r="J4" i="10"/>
  <c r="J2" i="10"/>
  <c r="I3" i="10"/>
  <c r="I4" i="10"/>
  <c r="I5" i="10"/>
  <c r="I7" i="10"/>
  <c r="I8" i="10"/>
  <c r="I9" i="10"/>
  <c r="I10" i="10"/>
  <c r="I2" i="10"/>
  <c r="F3" i="10"/>
  <c r="F4" i="10"/>
  <c r="F5" i="10"/>
  <c r="F6" i="10"/>
  <c r="F7" i="10"/>
  <c r="F8" i="10"/>
  <c r="F9" i="10"/>
  <c r="F2" i="10"/>
  <c r="E9" i="10"/>
  <c r="E3" i="10"/>
  <c r="E4" i="10"/>
  <c r="E5" i="10"/>
  <c r="E6" i="10"/>
  <c r="E7" i="10"/>
  <c r="E8" i="10"/>
  <c r="E2" i="10"/>
  <c r="D3" i="10"/>
  <c r="D4" i="10"/>
  <c r="D5" i="10"/>
  <c r="D6" i="10"/>
  <c r="D7" i="10"/>
  <c r="D8" i="10"/>
  <c r="D2" i="10"/>
  <c r="B4" i="10"/>
  <c r="B5" i="10"/>
  <c r="B6" i="10"/>
  <c r="B7" i="10"/>
  <c r="B8" i="10"/>
  <c r="C4" i="10"/>
  <c r="C5" i="10"/>
  <c r="C6" i="10"/>
  <c r="C7" i="10"/>
  <c r="C8" i="10"/>
  <c r="B2" i="10"/>
  <c r="C3" i="10"/>
  <c r="C2" i="10"/>
  <c r="B3" i="10"/>
  <c r="W2" i="9"/>
  <c r="V2" i="9"/>
  <c r="S2" i="9"/>
  <c r="R2" i="9"/>
  <c r="G10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" i="9"/>
  <c r="N2" i="9"/>
  <c r="M2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" i="9"/>
  <c r="G3" i="9"/>
  <c r="G4" i="9"/>
  <c r="G5" i="9"/>
  <c r="G6" i="9"/>
  <c r="G7" i="9"/>
  <c r="G8" i="9"/>
  <c r="G9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" i="9"/>
  <c r="E26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3" i="9"/>
  <c r="C4" i="9"/>
  <c r="C5" i="9"/>
  <c r="C6" i="9"/>
  <c r="C7" i="9"/>
  <c r="C2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T20" i="8"/>
  <c r="S20" i="8"/>
  <c r="L20" i="8"/>
  <c r="L19" i="8"/>
  <c r="L7" i="8"/>
  <c r="K7" i="8"/>
  <c r="N6" i="8"/>
  <c r="L6" i="8"/>
  <c r="K6" i="8"/>
  <c r="J6" i="8"/>
  <c r="N5" i="8"/>
  <c r="L5" i="8"/>
  <c r="K5" i="8"/>
  <c r="J5" i="8"/>
  <c r="N4" i="8"/>
  <c r="L4" i="8"/>
  <c r="K4" i="8"/>
  <c r="J4" i="8"/>
  <c r="J6" i="7"/>
  <c r="J7" i="7"/>
  <c r="J5" i="7"/>
  <c r="H6" i="7"/>
  <c r="I6" i="7" s="1" a="1"/>
  <c r="I6" i="7" s="1"/>
  <c r="H7" i="7"/>
  <c r="I7" i="7" s="1" a="1"/>
  <c r="I7" i="7" s="1"/>
  <c r="H5" i="7"/>
  <c r="I5" i="7" s="1" a="1"/>
  <c r="I5" i="7" s="1"/>
  <c r="N6" i="5"/>
  <c r="N7" i="5"/>
  <c r="N8" i="5"/>
  <c r="N9" i="5"/>
  <c r="N10" i="5"/>
  <c r="N11" i="5"/>
  <c r="N12" i="5"/>
  <c r="N13" i="5"/>
  <c r="N14" i="5"/>
  <c r="N15" i="5"/>
  <c r="N16" i="5"/>
  <c r="N5" i="5"/>
  <c r="L6" i="6"/>
  <c r="L7" i="6"/>
  <c r="L8" i="6"/>
  <c r="L9" i="6"/>
  <c r="L10" i="6"/>
  <c r="L11" i="6"/>
  <c r="L12" i="6"/>
  <c r="L13" i="6"/>
  <c r="L14" i="6"/>
  <c r="L15" i="6"/>
  <c r="L16" i="6"/>
  <c r="L5" i="6"/>
  <c r="K5" i="6"/>
  <c r="K6" i="6"/>
  <c r="K7" i="6"/>
  <c r="K8" i="6"/>
  <c r="K9" i="6"/>
  <c r="K10" i="6"/>
  <c r="K11" i="6"/>
  <c r="K12" i="6"/>
  <c r="K13" i="6"/>
  <c r="K14" i="6"/>
  <c r="K15" i="6"/>
  <c r="K16" i="6"/>
  <c r="B4" i="5"/>
  <c r="B5" i="5"/>
  <c r="B6" i="5"/>
  <c r="B7" i="5"/>
  <c r="B8" i="5"/>
  <c r="B3" i="5"/>
  <c r="S4" i="4"/>
  <c r="P3" i="4"/>
  <c r="K7" i="4"/>
  <c r="K4" i="4"/>
  <c r="C12" i="4"/>
  <c r="C10" i="4"/>
  <c r="C9" i="4"/>
  <c r="C8" i="4"/>
  <c r="C6" i="4"/>
  <c r="C5" i="4"/>
  <c r="C4" i="4"/>
  <c r="C3" i="4"/>
  <c r="C2" i="4"/>
  <c r="AA2" i="3"/>
  <c r="AA3" i="3"/>
  <c r="AA4" i="3"/>
  <c r="AA1" i="3"/>
  <c r="Y2" i="3"/>
  <c r="Y3" i="3"/>
  <c r="Y4" i="3"/>
  <c r="Y1" i="3"/>
  <c r="V2" i="3"/>
  <c r="V1" i="3"/>
  <c r="U1" i="3"/>
  <c r="T1" i="3"/>
  <c r="R1" i="3"/>
  <c r="Q2" i="3"/>
  <c r="Q1" i="3"/>
  <c r="P2" i="3"/>
  <c r="P1" i="3"/>
  <c r="K4" i="3" a="1"/>
  <c r="K4" i="3" s="1"/>
  <c r="K3" i="3" a="1"/>
  <c r="K3" i="3" s="1"/>
  <c r="K2" i="3" a="1"/>
  <c r="K2" i="3" s="1"/>
  <c r="K1" i="3" a="1"/>
  <c r="K1" i="3" s="1"/>
  <c r="B14" i="3"/>
  <c r="C14" i="3" s="1"/>
  <c r="D14" i="3"/>
  <c r="E14" i="3"/>
  <c r="F14" i="3"/>
  <c r="B13" i="3"/>
  <c r="D13" i="3"/>
  <c r="E13" i="3"/>
  <c r="F13" i="3"/>
  <c r="B12" i="3"/>
  <c r="C12" i="3" s="1"/>
  <c r="D12" i="3"/>
  <c r="E12" i="3"/>
  <c r="F12" i="3"/>
  <c r="B11" i="3"/>
  <c r="D11" i="3"/>
  <c r="E11" i="3"/>
  <c r="F11" i="3"/>
  <c r="H3" i="3"/>
  <c r="H2" i="3"/>
  <c r="H1" i="3"/>
  <c r="G2" i="3"/>
  <c r="G3" i="3"/>
  <c r="G4" i="3"/>
  <c r="G5" i="3"/>
  <c r="G6" i="3"/>
  <c r="G7" i="3"/>
  <c r="G8" i="3"/>
  <c r="G9" i="3"/>
  <c r="G10" i="3"/>
  <c r="G1" i="3"/>
  <c r="F2" i="3"/>
  <c r="F3" i="3"/>
  <c r="F4" i="3"/>
  <c r="F5" i="3"/>
  <c r="F6" i="3"/>
  <c r="F7" i="3"/>
  <c r="F8" i="3"/>
  <c r="F9" i="3"/>
  <c r="F10" i="3"/>
  <c r="F1" i="3"/>
  <c r="E2" i="3"/>
  <c r="E3" i="3"/>
  <c r="E4" i="3"/>
  <c r="E5" i="3"/>
  <c r="E6" i="3"/>
  <c r="E7" i="3"/>
  <c r="E8" i="3"/>
  <c r="E9" i="3"/>
  <c r="E10" i="3"/>
  <c r="E1" i="3"/>
  <c r="D2" i="3"/>
  <c r="D3" i="3"/>
  <c r="D4" i="3"/>
  <c r="D5" i="3"/>
  <c r="D6" i="3"/>
  <c r="D7" i="3"/>
  <c r="D8" i="3"/>
  <c r="D9" i="3"/>
  <c r="D10" i="3"/>
  <c r="D1" i="3"/>
  <c r="C1" i="3"/>
  <c r="B2" i="3"/>
  <c r="C2" i="3" s="1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" i="3"/>
  <c r="D27" i="1"/>
  <c r="C27" i="1"/>
  <c r="A29" i="1"/>
  <c r="A26" i="1"/>
  <c r="F23" i="1"/>
  <c r="E23" i="1"/>
  <c r="D23" i="1"/>
  <c r="A23" i="1"/>
  <c r="A2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<sst xmlns="http://schemas.openxmlformats.org/spreadsheetml/2006/main" count="246" uniqueCount="154">
  <si>
    <t>kannan</t>
  </si>
  <si>
    <t>ganesh</t>
  </si>
  <si>
    <t>tharun</t>
  </si>
  <si>
    <t>dhanush</t>
  </si>
  <si>
    <t>karthick</t>
  </si>
  <si>
    <t>vijay</t>
  </si>
  <si>
    <t>vinoth</t>
  </si>
  <si>
    <t>vineeth</t>
  </si>
  <si>
    <t>Ram</t>
  </si>
  <si>
    <t>Saran</t>
  </si>
  <si>
    <t>A-B-C-D-E</t>
  </si>
  <si>
    <t>Aabc123a</t>
  </si>
  <si>
    <t>XYZabc123X4</t>
  </si>
  <si>
    <t>Abc123ab123997</t>
  </si>
  <si>
    <t>Ab12349123a123</t>
  </si>
  <si>
    <t>excel 2016 2016</t>
  </si>
  <si>
    <t>excel 2016 hello</t>
  </si>
  <si>
    <t>2016 excel 2016</t>
  </si>
  <si>
    <t>REGION</t>
  </si>
  <si>
    <t>PERSON</t>
  </si>
  <si>
    <t>PRODUCT</t>
  </si>
  <si>
    <t>QUANTITY</t>
  </si>
  <si>
    <t>SOUTH</t>
  </si>
  <si>
    <t>SUMIF only word gn</t>
  </si>
  <si>
    <t>A</t>
  </si>
  <si>
    <t>APPLE</t>
  </si>
  <si>
    <t>NORTH</t>
  </si>
  <si>
    <t>ORANGE</t>
  </si>
  <si>
    <t>EAST</t>
  </si>
  <si>
    <t>?? 2 missing character</t>
  </si>
  <si>
    <t>B</t>
  </si>
  <si>
    <t>WEST</t>
  </si>
  <si>
    <t>* WORD *(means ethula venna start agalam)</t>
  </si>
  <si>
    <t>SOUTH NEW OFFICE</t>
  </si>
  <si>
    <t>WORD*</t>
  </si>
  <si>
    <t>KIWI</t>
  </si>
  <si>
    <t>SOUTH NORTH OFFICE</t>
  </si>
  <si>
    <t>ERRT</t>
  </si>
  <si>
    <t>AVGIF ONLY GN WORD</t>
  </si>
  <si>
    <t>SXZH</t>
  </si>
  <si>
    <t>AVG WITH ?? 2 missing character</t>
  </si>
  <si>
    <t>C</t>
  </si>
  <si>
    <t>OFFICE SOUTH</t>
  </si>
  <si>
    <t>OFFICE NORTH</t>
  </si>
  <si>
    <t>COUNT IFS COUNT NUMBERS</t>
  </si>
  <si>
    <t>(WORK WITH  1 CONDITION)</t>
  </si>
  <si>
    <t>SALES</t>
  </si>
  <si>
    <t>1} FIND TOTAL APPLES SOLD BY PERSON A?</t>
  </si>
  <si>
    <t>SUM IF</t>
  </si>
  <si>
    <t>2}B..KIWI..QUANTITY?</t>
  </si>
  <si>
    <t xml:space="preserve">(WORKS WITH MULTIPLE CONDITION </t>
  </si>
  <si>
    <t>ANSERS CHANGES WHEN DATA ADDED ACCORDINGLY</t>
  </si>
  <si>
    <t>AVGIF</t>
  </si>
  <si>
    <t>AVG OF APPLE SOLD BY A?</t>
  </si>
  <si>
    <t>#countla qauntity colum ethukum varathu</t>
  </si>
  <si>
    <t>COUNTIF</t>
  </si>
  <si>
    <t>AGE</t>
  </si>
  <si>
    <t xml:space="preserve"> = IF(A3&lt;18,"BELOW 18","ABOVE 18")</t>
  </si>
  <si>
    <t>COUNTRY</t>
  </si>
  <si>
    <t>INDIA</t>
  </si>
  <si>
    <t>RUSSIA</t>
  </si>
  <si>
    <t>USA</t>
  </si>
  <si>
    <t>UK</t>
  </si>
  <si>
    <t>AND</t>
  </si>
  <si>
    <t>OR</t>
  </si>
  <si>
    <t>AND IS T ONLY WHEN T AND T</t>
  </si>
  <si>
    <t>OR IS F ONLY WHEN F AND F</t>
  </si>
  <si>
    <t>IF CONDITIONLA FALSE IRKARA SIDELA THAN MULTIPLE CONDITIONS OF VALUES VAIKA MUDIYUM IF FAIL AGRA CONDITIONS NARYA IRNTHA</t>
  </si>
  <si>
    <t>EMPID</t>
  </si>
  <si>
    <t>EMPNAME</t>
  </si>
  <si>
    <t>EMPPHONE</t>
  </si>
  <si>
    <t>EMPSALARY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</si>
  <si>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</si>
  <si>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</si>
  <si>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</si>
  <si>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</si>
  <si>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</si>
  <si>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</si>
  <si>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</si>
  <si>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</si>
  <si>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</si>
  <si>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UNIQUE VALUES ARE CALLED AS LOOKUP VALUES</t>
  </si>
  <si>
    <t>IMPPPPP</t>
  </si>
  <si>
    <t>EMPPJONE</t>
  </si>
  <si>
    <t>INDEX(H5,B:B,B4)</t>
  </si>
  <si>
    <t>MATCH</t>
  </si>
  <si>
    <t>INDEX+MATCH</t>
  </si>
  <si>
    <t>MATCH GIVES ROW NUMBER</t>
  </si>
  <si>
    <t>COLUM KUDTHUTU INDEX KUDTHA COLUMLA IRKARA VALUE KUDKUM</t>
  </si>
  <si>
    <t>EXCEL REVERSELA TRAVEL PANATHU FOR THAT WE USE INDEX AND MATCH</t>
  </si>
  <si>
    <t>IFNA(VLOOKUP)</t>
  </si>
  <si>
    <t>INDEX/MATCH</t>
  </si>
  <si>
    <t>PROFIT</t>
  </si>
  <si>
    <t>JAN</t>
  </si>
  <si>
    <t>FEB</t>
  </si>
  <si>
    <t>MARCH</t>
  </si>
  <si>
    <t>APRIL</t>
  </si>
  <si>
    <t>VLOOKUP</t>
  </si>
  <si>
    <t>HLOOKUP</t>
  </si>
  <si>
    <t>NAME</t>
  </si>
  <si>
    <t>DEPT</t>
  </si>
  <si>
    <t>SALARY</t>
  </si>
  <si>
    <t>D</t>
  </si>
  <si>
    <t>E</t>
  </si>
  <si>
    <t>QA</t>
  </si>
  <si>
    <t>DEV</t>
  </si>
  <si>
    <t>XLOOKUP</t>
  </si>
  <si>
    <t xml:space="preserve">TO FIND NAME </t>
  </si>
  <si>
    <t>TO FIND DEPT</t>
  </si>
  <si>
    <t>Travels colum wise</t>
  </si>
  <si>
    <t>travels row wise</t>
  </si>
  <si>
    <t>travels all direction</t>
  </si>
  <si>
    <t>NUMBERS</t>
  </si>
  <si>
    <t>ABS = SIGN IGNORE PANI VALUE SAMEA RETURN PANNUM</t>
  </si>
  <si>
    <t xml:space="preserve">ABS </t>
  </si>
  <si>
    <t>SIGN</t>
  </si>
  <si>
    <t>SIGN= SHOWS SIGN</t>
  </si>
  <si>
    <t>POWER</t>
  </si>
  <si>
    <t>TRUNC</t>
  </si>
  <si>
    <t>ROUND</t>
  </si>
  <si>
    <t>POWER= 4squr= 16</t>
  </si>
  <si>
    <t>trunc= cut decimal</t>
  </si>
  <si>
    <t>roundup</t>
  </si>
  <si>
    <t>int</t>
  </si>
  <si>
    <t>mod = remainder output</t>
  </si>
  <si>
    <t>division</t>
  </si>
  <si>
    <t>SUM</t>
  </si>
  <si>
    <t>MOD</t>
  </si>
  <si>
    <t>AVG</t>
  </si>
  <si>
    <t>MAX</t>
  </si>
  <si>
    <t>MIN</t>
  </si>
  <si>
    <t>SQRT</t>
  </si>
  <si>
    <t>STUDENT MARK</t>
  </si>
  <si>
    <t>2ND LARGEST</t>
  </si>
  <si>
    <t>3RD SMALLEST</t>
  </si>
  <si>
    <t>MODE</t>
  </si>
  <si>
    <t>MODE = MOST REPEATED</t>
  </si>
  <si>
    <t>MEDIAN</t>
  </si>
  <si>
    <t>STUDENT MARKS</t>
  </si>
  <si>
    <t>IS MAKES OUTPUT ONLY  ON TRUE OR FALSE</t>
  </si>
  <si>
    <t>ISODD</t>
  </si>
  <si>
    <t>IS EVEN</t>
  </si>
  <si>
    <t>IS NUMBER</t>
  </si>
  <si>
    <t>SUBA</t>
  </si>
  <si>
    <t>IS BLANK</t>
  </si>
  <si>
    <t>ISNOT TEXT</t>
  </si>
  <si>
    <t>VALUE</t>
  </si>
  <si>
    <t>ABC</t>
  </si>
  <si>
    <t>XYZ</t>
  </si>
  <si>
    <t>abc</t>
  </si>
  <si>
    <t>true and false is the only logical value in excel</t>
  </si>
  <si>
    <t>islogical</t>
  </si>
  <si>
    <t>is formula= if malualluy selected false…if formula typed returns true</t>
  </si>
  <si>
    <t>isformula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</si>
</sst>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3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2" borderId="0" xfId="0" applyNumberFormat="1" applyFill="1"/>
    <xf numFmtId="14" fontId="0" fillId="2" borderId="0" xfId="0" applyNumberFormat="1" applyFill="1" applyBorder="1"/>
    <xf numFmtId="0" fontId="0" fillId="0" borderId="1" xfId="0" applyFill="1" applyBorder="1"/>
    <xf numFmtId="0" fontId="0" fillId="2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50E-3E95-4070-896F-82776C8AB135}">
  <dimension ref="A1:F30"/>
  <sheetViews>
    <sheetView topLeftCell="A15" workbookViewId="0">
      <selection activeCell="H20" sqref="H20"/>
    </sheetView>
  </sheetViews>
  <sheetFormatPr defaultRowHeight="14.4" x14ac:dyDescent="0.3"/>
  <cols>
    <col min="1" max="1" width="15.109375" bestFit="1" customWidth="1"/>
    <col min="2" max="2" width="10.109375" bestFit="1" customWidth="1"/>
    <col min="3" max="3" width="15.109375" bestFit="1" customWidth="1"/>
    <col min="4" max="4" width="10.109375" bestFit="1" customWidth="1"/>
    <col min="6" max="6" width="10.109375" bestFit="1" customWidth="1"/>
  </cols>
  <sheetData>
    <row r="1" spans="1:4" x14ac:dyDescent="0.3">
      <c r="A1" s="1">
        <f ca="1">TODAY()</f>
        <v>46093</v>
      </c>
      <c r="C1" s="2"/>
    </row>
    <row r="2" spans="1:4" x14ac:dyDescent="0.3">
      <c r="A2" s="2">
        <f ca="1">NOW()</f>
        <v>46093.491185763887</v>
      </c>
    </row>
    <row r="3" spans="1:4" x14ac:dyDescent="0.3">
      <c r="A3">
        <f ca="1">YEAR(NOW())</f>
        <v>2026</v>
      </c>
    </row>
    <row r="4" spans="1:4" x14ac:dyDescent="0.3">
      <c r="A4">
        <f ca="1">MONTH(NOW())</f>
        <v>3</v>
      </c>
    </row>
    <row r="5" spans="1:4" x14ac:dyDescent="0.3">
      <c r="A5">
        <f ca="1">DAY(NOW())</f>
        <v>12</v>
      </c>
      <c r="C5" s="1"/>
    </row>
    <row r="6" spans="1:4" x14ac:dyDescent="0.3">
      <c r="A6">
        <f ca="1">HOUR(NOW())</f>
        <v>11</v>
      </c>
      <c r="D6" s="3"/>
    </row>
    <row r="7" spans="1:4" x14ac:dyDescent="0.3">
      <c r="A7">
        <f ca="1">MINUTE(NOW())</f>
        <v>47</v>
      </c>
    </row>
    <row r="8" spans="1:4" x14ac:dyDescent="0.3">
      <c r="A8">
        <f ca="1">SECOND(NOW())</f>
        <v>18</v>
      </c>
    </row>
    <row r="9" spans="1:4" x14ac:dyDescent="0.3">
      <c r="A9">
        <f ca="1">WEEKDAY(NOW())</f>
        <v>5</v>
      </c>
    </row>
    <row r="10" spans="1:4" x14ac:dyDescent="0.3">
      <c r="A10" s="1">
        <f>DATE(2026,12,5)</f>
        <v>46361</v>
      </c>
    </row>
    <row r="11" spans="1:4" x14ac:dyDescent="0.3">
      <c r="A11" s="3">
        <f>TIME(12,14,16)</f>
        <v>0.50990740740740736</v>
      </c>
    </row>
    <row r="12" spans="1:4" x14ac:dyDescent="0.3">
      <c r="A12" s="1">
        <f ca="1">EDATE(NOW(),2)</f>
        <v>46154</v>
      </c>
    </row>
    <row r="13" spans="1:4" x14ac:dyDescent="0.3">
      <c r="A13" s="1">
        <f ca="1">EDATE(NOW(),-2)</f>
        <v>46034</v>
      </c>
    </row>
    <row r="14" spans="1:4" x14ac:dyDescent="0.3">
      <c r="A14" s="1">
        <f ca="1">EOMONTH(NOW(),2)</f>
        <v>46173</v>
      </c>
    </row>
    <row r="15" spans="1:4" x14ac:dyDescent="0.3">
      <c r="A15" s="1">
        <f ca="1">EOMONTH(NOW(),-2)</f>
        <v>46053</v>
      </c>
    </row>
    <row r="16" spans="1:4" x14ac:dyDescent="0.3">
      <c r="A16">
        <f ca="1">WEEKNUM(NOW())</f>
        <v>11</v>
      </c>
    </row>
    <row r="17" spans="1:6" x14ac:dyDescent="0.3">
      <c r="A17" s="1">
        <f>DATE(2025,1,1)</f>
        <v>45658</v>
      </c>
    </row>
    <row r="18" spans="1:6" x14ac:dyDescent="0.3">
      <c r="A18" s="1">
        <f>DATE(2026,4,10)</f>
        <v>46122</v>
      </c>
    </row>
    <row r="19" spans="1:6" x14ac:dyDescent="0.3">
      <c r="A19">
        <f>YEARFRAC(A17,A18)</f>
        <v>1.2749999999999999</v>
      </c>
    </row>
    <row r="20" spans="1:6" x14ac:dyDescent="0.3">
      <c r="A20">
        <f>1.275*12</f>
        <v>15.299999999999999</v>
      </c>
    </row>
    <row r="21" spans="1:6" x14ac:dyDescent="0.3">
      <c r="A21" s="1">
        <v>46023</v>
      </c>
      <c r="C21" s="4"/>
    </row>
    <row r="22" spans="1:6" x14ac:dyDescent="0.3">
      <c r="A22" s="1">
        <v>46053</v>
      </c>
    </row>
    <row r="23" spans="1:6" x14ac:dyDescent="0.3">
      <c r="A23">
        <f>NETWORKDAYS(A21,A22)</f>
        <v>22</v>
      </c>
      <c r="B23" s="1">
        <v>46037</v>
      </c>
      <c r="C23" s="1">
        <v>46048</v>
      </c>
      <c r="D23">
        <f>NETWORKDAYS(A21,A22,B23:C23)</f>
        <v>20</v>
      </c>
      <c r="E23">
        <f>NETWORKDAYS.INTL(A21,A22,7,B23:C23)</f>
        <v>19</v>
      </c>
      <c r="F23" s="1">
        <f>WORKDAY(A21,250)</f>
        <v>46373</v>
      </c>
    </row>
    <row r="24" spans="1:6" x14ac:dyDescent="0.3">
      <c r="A24" s="1">
        <v>46054</v>
      </c>
      <c r="B24" s="1"/>
    </row>
    <row r="25" spans="1:6" x14ac:dyDescent="0.3">
      <c r="A25" s="1">
        <v>46081</v>
      </c>
    </row>
    <row r="26" spans="1:6" x14ac:dyDescent="0.3">
      <c r="A26">
        <f>NETWORKDAYS(A24,A25)</f>
        <v>20</v>
      </c>
      <c r="D26" s="1"/>
      <c r="F26" s="1"/>
    </row>
    <row r="27" spans="1:6" x14ac:dyDescent="0.3">
      <c r="A27" s="1">
        <v>46357</v>
      </c>
      <c r="B27" s="1">
        <v>46381</v>
      </c>
      <c r="C27">
        <f>NETWORKDAYS(A27,A28,B27)</f>
        <v>22</v>
      </c>
      <c r="D27" s="1">
        <f>WORKDAY(A27,20,B27)</f>
        <v>46386</v>
      </c>
    </row>
    <row r="28" spans="1:6" x14ac:dyDescent="0.3">
      <c r="A28" s="1">
        <v>46387</v>
      </c>
    </row>
    <row r="29" spans="1:6" x14ac:dyDescent="0.3">
      <c r="A29">
        <f>NETWORKDAYS(A27,A28)</f>
        <v>23</v>
      </c>
    </row>
    <row r="30" spans="1:6" x14ac:dyDescent="0.3">
      <c r="A3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5D6B-2983-4316-B820-227B0FC865CA}">
  <dimension ref="A1:AA14"/>
  <sheetViews>
    <sheetView topLeftCell="P1" workbookViewId="0">
      <selection activeCell="AC7" sqref="AC7"/>
    </sheetView>
  </sheetViews>
  <sheetFormatPr defaultRowHeight="14.4" x14ac:dyDescent="0.3"/>
  <sheetData>
    <row r="1" spans="1:27" x14ac:dyDescent="0.3">
      <c r="A1" t="s">
        <v>9</v>
      </c>
      <c r="B1" t="str">
        <f>UPPER(A1)</f>
        <v>SARAN</v>
      </c>
      <c r="C1" t="str">
        <f>LOWER(B1)</f>
        <v>saran</v>
      </c>
      <c r="D1" t="str">
        <f t="shared" ref="D1:D14" si="0">LEFT(A1,3)</f>
        <v>Sar</v>
      </c>
      <c r="E1" t="str">
        <f>RIGHT(A1,3)</f>
        <v>ran</v>
      </c>
      <c r="F1" t="str">
        <f>MID(A1,2,3)</f>
        <v>ara</v>
      </c>
      <c r="G1">
        <f>LEN(A1)</f>
        <v>5</v>
      </c>
      <c r="H1" t="str">
        <f>REPT("😊",5)</f>
        <v>😊😊😊😊😊</v>
      </c>
      <c r="J1" t="s">
        <v>10</v>
      </c>
      <c r="K1" t="str" cm="1">
        <f t="array" ref="K1:O1">_xlfn.TEXTSPLIT(J1,"-")</f>
        <v>A</v>
      </c>
      <c r="L1" t="str">
        <v>B</v>
      </c>
      <c r="M1" t="str">
        <v>C</v>
      </c>
      <c r="N1" t="str">
        <v>D</v>
      </c>
      <c r="O1" t="str">
        <v>E</v>
      </c>
      <c r="P1">
        <f>FIND("a",A1,1)</f>
        <v>2</v>
      </c>
      <c r="Q1">
        <f>IFERROR(FIND("a",A1,1),"not available")</f>
        <v>2</v>
      </c>
      <c r="R1">
        <f>SEARCH("A",A1,1)</f>
        <v>2</v>
      </c>
      <c r="S1" t="s">
        <v>11</v>
      </c>
      <c r="T1">
        <f>FIND("a",S1, FIND("a",S1,1)+1)</f>
        <v>8</v>
      </c>
      <c r="U1">
        <f>SEARCH("a",S1, SEARCH("a",S1,1)+1)</f>
        <v>2</v>
      </c>
      <c r="V1" t="str">
        <f>REPLACE(S1,1,4,"besant")</f>
        <v>besant123a</v>
      </c>
      <c r="W1" t="s">
        <v>15</v>
      </c>
      <c r="Y1" t="str">
        <f>SUBSTITUTE(W1,"2016","2024")</f>
        <v>excel 2024 2024</v>
      </c>
      <c r="AA1" t="str">
        <f>SUBSTITUTE(W1,"2016","2025",1)</f>
        <v>excel 2025 2016</v>
      </c>
    </row>
    <row r="2" spans="1:27" x14ac:dyDescent="0.3">
      <c r="A2" t="s">
        <v>8</v>
      </c>
      <c r="B2" t="str">
        <f t="shared" ref="B2:B14" si="1">UPPER(A2)</f>
        <v>RAM</v>
      </c>
      <c r="C2" t="str">
        <f t="shared" ref="C2:C14" si="2">LOWER(B2)</f>
        <v>ram</v>
      </c>
      <c r="D2" t="str">
        <f t="shared" si="0"/>
        <v>Ram</v>
      </c>
      <c r="E2" t="str">
        <f t="shared" ref="E2:E14" si="3">RIGHT(A2,3)</f>
        <v>Ram</v>
      </c>
      <c r="F2" t="str">
        <f t="shared" ref="F2:F14" si="4">MID(A2,2,3)</f>
        <v>am</v>
      </c>
      <c r="G2">
        <f t="shared" ref="G2:G10" si="5">LEN(A2)</f>
        <v>3</v>
      </c>
      <c r="H2" t="str">
        <f>REPT("😊",3)</f>
        <v>😊😊😊</v>
      </c>
      <c r="J2" t="s">
        <v>10</v>
      </c>
      <c r="K2" t="str" cm="1">
        <f t="array" ref="K2:O2">_xlfn.TEXTSPLIT(J2,"-")</f>
        <v>A</v>
      </c>
      <c r="L2" t="str">
        <v>B</v>
      </c>
      <c r="M2" t="str">
        <v>C</v>
      </c>
      <c r="N2" t="str">
        <v>D</v>
      </c>
      <c r="O2" t="str">
        <v>E</v>
      </c>
      <c r="P2">
        <f>FIND("m",A2,1)</f>
        <v>3</v>
      </c>
      <c r="Q2" t="str">
        <f>IFERROR(FIND("s",A2,1),"not available")</f>
        <v>not available</v>
      </c>
      <c r="S2" t="s">
        <v>12</v>
      </c>
      <c r="V2" t="str">
        <f>REPLACE(S2,1,5,"sudar")</f>
        <v>sudarc123X4</v>
      </c>
      <c r="W2" t="s">
        <v>16</v>
      </c>
      <c r="Y2" t="str">
        <f t="shared" ref="Y2:Y4" si="6">SUBSTITUTE(W2,"2016","2024")</f>
        <v>excel 2024 hello</v>
      </c>
      <c r="AA2" t="str">
        <f t="shared" ref="AA2:AA4" si="7">SUBSTITUTE(W2,"2016","2025",1)</f>
        <v>excel 2025 hello</v>
      </c>
    </row>
    <row r="3" spans="1:27" x14ac:dyDescent="0.3">
      <c r="A3" t="s">
        <v>7</v>
      </c>
      <c r="B3" t="str">
        <f t="shared" si="1"/>
        <v>VINEETH</v>
      </c>
      <c r="C3" t="str">
        <f t="shared" si="2"/>
        <v>vineeth</v>
      </c>
      <c r="D3" t="str">
        <f t="shared" si="0"/>
        <v>vin</v>
      </c>
      <c r="E3" t="str">
        <f t="shared" si="3"/>
        <v>eth</v>
      </c>
      <c r="F3" t="str">
        <f t="shared" si="4"/>
        <v>ine</v>
      </c>
      <c r="G3">
        <f t="shared" si="5"/>
        <v>7</v>
      </c>
      <c r="H3" t="str">
        <f>REPT("😊",7)</f>
        <v>😊😊😊😊😊😊😊</v>
      </c>
      <c r="J3" t="s">
        <v>10</v>
      </c>
      <c r="K3" t="str" cm="1">
        <f t="array" ref="K3:O3">_xlfn.TEXTSPLIT(J3,"-")</f>
        <v>A</v>
      </c>
      <c r="L3" t="str">
        <v>B</v>
      </c>
      <c r="M3" t="str">
        <v>C</v>
      </c>
      <c r="N3" t="str">
        <v>D</v>
      </c>
      <c r="O3" t="str">
        <v>E</v>
      </c>
      <c r="S3" t="s">
        <v>13</v>
      </c>
      <c r="W3" t="s">
        <v>16</v>
      </c>
      <c r="Y3" t="str">
        <f t="shared" si="6"/>
        <v>excel 2024 hello</v>
      </c>
      <c r="AA3" t="str">
        <f t="shared" si="7"/>
        <v>excel 2025 hello</v>
      </c>
    </row>
    <row r="4" spans="1:27" x14ac:dyDescent="0.3">
      <c r="A4" t="s">
        <v>6</v>
      </c>
      <c r="B4" t="str">
        <f t="shared" si="1"/>
        <v>VINOTH</v>
      </c>
      <c r="C4" t="str">
        <f t="shared" si="2"/>
        <v>vinoth</v>
      </c>
      <c r="D4" t="str">
        <f t="shared" si="0"/>
        <v>vin</v>
      </c>
      <c r="E4" t="str">
        <f t="shared" si="3"/>
        <v>oth</v>
      </c>
      <c r="F4" t="str">
        <f t="shared" si="4"/>
        <v>ino</v>
      </c>
      <c r="G4">
        <f t="shared" si="5"/>
        <v>6</v>
      </c>
      <c r="J4" t="s">
        <v>10</v>
      </c>
      <c r="K4" t="str" cm="1">
        <f t="array" ref="K4:O4">_xlfn.TEXTSPLIT(J4,"-")</f>
        <v>A</v>
      </c>
      <c r="L4" t="str">
        <v>B</v>
      </c>
      <c r="M4" t="str">
        <v>C</v>
      </c>
      <c r="N4" t="str">
        <v>D</v>
      </c>
      <c r="O4" t="str">
        <v>E</v>
      </c>
      <c r="S4" t="s">
        <v>14</v>
      </c>
      <c r="W4" t="s">
        <v>17</v>
      </c>
      <c r="Y4" t="str">
        <f t="shared" si="6"/>
        <v>2024 excel 2024</v>
      </c>
      <c r="AA4" t="str">
        <f t="shared" si="7"/>
        <v>2025 excel 2016</v>
      </c>
    </row>
    <row r="5" spans="1:27" x14ac:dyDescent="0.3">
      <c r="A5" t="s">
        <v>5</v>
      </c>
      <c r="B5" t="str">
        <f t="shared" si="1"/>
        <v>VIJAY</v>
      </c>
      <c r="C5" t="str">
        <f t="shared" si="2"/>
        <v>vijay</v>
      </c>
      <c r="D5" t="str">
        <f t="shared" si="0"/>
        <v>vij</v>
      </c>
      <c r="E5" t="str">
        <f t="shared" si="3"/>
        <v>jay</v>
      </c>
      <c r="F5" t="str">
        <f t="shared" si="4"/>
        <v>ija</v>
      </c>
      <c r="G5">
        <f t="shared" si="5"/>
        <v>5</v>
      </c>
    </row>
    <row r="6" spans="1:27" x14ac:dyDescent="0.3">
      <c r="A6" t="s">
        <v>0</v>
      </c>
      <c r="B6" t="str">
        <f t="shared" si="1"/>
        <v>KANNAN</v>
      </c>
      <c r="C6" t="str">
        <f t="shared" si="2"/>
        <v>kannan</v>
      </c>
      <c r="D6" t="str">
        <f t="shared" si="0"/>
        <v>kan</v>
      </c>
      <c r="E6" t="str">
        <f t="shared" si="3"/>
        <v>nan</v>
      </c>
      <c r="F6" t="str">
        <f t="shared" si="4"/>
        <v>ann</v>
      </c>
      <c r="G6">
        <f t="shared" si="5"/>
        <v>6</v>
      </c>
    </row>
    <row r="7" spans="1:27" x14ac:dyDescent="0.3">
      <c r="A7" t="s">
        <v>1</v>
      </c>
      <c r="B7" t="str">
        <f t="shared" si="1"/>
        <v>GANESH</v>
      </c>
      <c r="C7" t="str">
        <f t="shared" si="2"/>
        <v>ganesh</v>
      </c>
      <c r="D7" t="str">
        <f t="shared" si="0"/>
        <v>gan</v>
      </c>
      <c r="E7" t="str">
        <f t="shared" si="3"/>
        <v>esh</v>
      </c>
      <c r="F7" t="str">
        <f t="shared" si="4"/>
        <v>ane</v>
      </c>
      <c r="G7">
        <f t="shared" si="5"/>
        <v>6</v>
      </c>
    </row>
    <row r="8" spans="1:27" x14ac:dyDescent="0.3">
      <c r="A8" t="s">
        <v>2</v>
      </c>
      <c r="B8" t="str">
        <f t="shared" si="1"/>
        <v>THARUN</v>
      </c>
      <c r="C8" t="str">
        <f t="shared" si="2"/>
        <v>tharun</v>
      </c>
      <c r="D8" t="str">
        <f t="shared" si="0"/>
        <v>tha</v>
      </c>
      <c r="E8" t="str">
        <f t="shared" si="3"/>
        <v>run</v>
      </c>
      <c r="F8" t="str">
        <f t="shared" si="4"/>
        <v>har</v>
      </c>
      <c r="G8">
        <f t="shared" si="5"/>
        <v>6</v>
      </c>
    </row>
    <row r="9" spans="1:27" x14ac:dyDescent="0.3">
      <c r="A9" t="s">
        <v>3</v>
      </c>
      <c r="B9" t="str">
        <f t="shared" si="1"/>
        <v>DHANUSH</v>
      </c>
      <c r="C9" t="str">
        <f t="shared" si="2"/>
        <v>dhanush</v>
      </c>
      <c r="D9" t="str">
        <f t="shared" si="0"/>
        <v>dha</v>
      </c>
      <c r="E9" t="str">
        <f t="shared" si="3"/>
        <v>ush</v>
      </c>
      <c r="F9" t="str">
        <f t="shared" si="4"/>
        <v>han</v>
      </c>
      <c r="G9">
        <f t="shared" si="5"/>
        <v>7</v>
      </c>
    </row>
    <row r="10" spans="1:27" x14ac:dyDescent="0.3">
      <c r="A10" t="s">
        <v>4</v>
      </c>
      <c r="B10" t="str">
        <f t="shared" si="1"/>
        <v>KARTHICK</v>
      </c>
      <c r="C10" t="str">
        <f t="shared" si="2"/>
        <v>karthick</v>
      </c>
      <c r="D10" t="str">
        <f t="shared" si="0"/>
        <v>kar</v>
      </c>
      <c r="E10" t="str">
        <f t="shared" si="3"/>
        <v>ick</v>
      </c>
      <c r="F10" t="str">
        <f t="shared" si="4"/>
        <v>art</v>
      </c>
      <c r="G10">
        <f t="shared" si="5"/>
        <v>8</v>
      </c>
    </row>
    <row r="11" spans="1:27" x14ac:dyDescent="0.3">
      <c r="B11" t="str">
        <f t="shared" si="1"/>
        <v/>
      </c>
      <c r="D11" t="str">
        <f t="shared" si="0"/>
        <v/>
      </c>
      <c r="E11" t="str">
        <f t="shared" si="3"/>
        <v/>
      </c>
      <c r="F11" t="str">
        <f t="shared" si="4"/>
        <v/>
      </c>
    </row>
    <row r="12" spans="1:27" x14ac:dyDescent="0.3">
      <c r="B12" t="str">
        <f t="shared" si="1"/>
        <v/>
      </c>
      <c r="C12" t="str">
        <f t="shared" si="2"/>
        <v/>
      </c>
      <c r="D12" t="str">
        <f t="shared" si="0"/>
        <v/>
      </c>
      <c r="E12" t="str">
        <f t="shared" si="3"/>
        <v/>
      </c>
      <c r="F12" t="str">
        <f t="shared" si="4"/>
        <v/>
      </c>
    </row>
    <row r="13" spans="1:27" x14ac:dyDescent="0.3">
      <c r="B13" t="str">
        <f t="shared" si="1"/>
        <v/>
      </c>
      <c r="D13" t="str">
        <f t="shared" si="0"/>
        <v/>
      </c>
      <c r="E13" t="str">
        <f t="shared" si="3"/>
        <v/>
      </c>
      <c r="F13" t="str">
        <f t="shared" si="4"/>
        <v/>
      </c>
    </row>
    <row r="14" spans="1:27" x14ac:dyDescent="0.3">
      <c r="B14" t="str">
        <f t="shared" si="1"/>
        <v/>
      </c>
      <c r="C14" t="str">
        <f t="shared" si="2"/>
        <v/>
      </c>
      <c r="D14" t="str">
        <f t="shared" si="0"/>
        <v/>
      </c>
      <c r="E14" t="str">
        <f t="shared" si="3"/>
        <v/>
      </c>
      <c r="F14" t="str">
        <f t="shared" si="4"/>
        <v/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9C6A-4A6B-4302-A3D2-41AB61401C0B}">
  <dimension ref="A1:T15"/>
  <sheetViews>
    <sheetView topLeftCell="K6" workbookViewId="0">
      <selection activeCell="I18" sqref="I18"/>
    </sheetView>
  </sheetViews>
  <sheetFormatPr defaultRowHeight="14.4" x14ac:dyDescent="0.3"/>
  <cols>
    <col min="1" max="1" width="19.6640625" bestFit="1" customWidth="1"/>
    <col min="4" max="4" width="24.33203125" customWidth="1"/>
    <col min="11" max="11" width="15.109375" customWidth="1"/>
  </cols>
  <sheetData>
    <row r="1" spans="1:20" x14ac:dyDescent="0.3">
      <c r="A1" s="6" t="s">
        <v>18</v>
      </c>
      <c r="B1" s="6" t="s">
        <v>46</v>
      </c>
      <c r="C1" s="5"/>
      <c r="D1" s="5"/>
      <c r="E1" s="5"/>
      <c r="F1" s="5"/>
      <c r="G1" s="5"/>
      <c r="H1" s="6" t="s">
        <v>19</v>
      </c>
      <c r="I1" s="6" t="s">
        <v>20</v>
      </c>
      <c r="J1" s="6" t="s">
        <v>21</v>
      </c>
      <c r="K1" s="8" t="s">
        <v>48</v>
      </c>
      <c r="L1" s="5"/>
      <c r="M1" s="5"/>
      <c r="N1" s="5"/>
      <c r="O1" s="5"/>
      <c r="P1" s="8" t="s">
        <v>52</v>
      </c>
      <c r="Q1" s="5"/>
      <c r="R1" s="5"/>
      <c r="S1" s="8" t="s">
        <v>55</v>
      </c>
      <c r="T1" s="5"/>
    </row>
    <row r="2" spans="1:20" x14ac:dyDescent="0.3">
      <c r="A2" s="7" t="s">
        <v>22</v>
      </c>
      <c r="B2" s="7">
        <v>100</v>
      </c>
      <c r="C2">
        <f>SUMIF(A:A,"EAST",B:B)</f>
        <v>70</v>
      </c>
      <c r="D2" t="s">
        <v>23</v>
      </c>
      <c r="H2" s="7" t="s">
        <v>24</v>
      </c>
      <c r="I2" s="7" t="s">
        <v>25</v>
      </c>
      <c r="J2" s="7">
        <v>20</v>
      </c>
      <c r="P2" t="s">
        <v>53</v>
      </c>
      <c r="S2" t="s">
        <v>55</v>
      </c>
    </row>
    <row r="3" spans="1:20" x14ac:dyDescent="0.3">
      <c r="A3" s="7" t="s">
        <v>26</v>
      </c>
      <c r="B3" s="7">
        <v>50</v>
      </c>
      <c r="C3">
        <f>SUMIF(A:A,"SOUTH",B:B)</f>
        <v>150</v>
      </c>
      <c r="H3" s="7" t="s">
        <v>24</v>
      </c>
      <c r="I3" s="7" t="s">
        <v>27</v>
      </c>
      <c r="J3" s="7">
        <v>10</v>
      </c>
      <c r="K3" t="s">
        <v>47</v>
      </c>
      <c r="P3">
        <f>AVERAGEIFS(J:J,H:H,"A",I:I,"APPLE")</f>
        <v>27.5</v>
      </c>
    </row>
    <row r="4" spans="1:20" x14ac:dyDescent="0.3">
      <c r="A4" s="7" t="s">
        <v>28</v>
      </c>
      <c r="B4" s="7">
        <v>50</v>
      </c>
      <c r="C4">
        <f>SUMIF(A:A,"E??T",B:B)</f>
        <v>120</v>
      </c>
      <c r="D4" t="s">
        <v>29</v>
      </c>
      <c r="H4" s="7" t="s">
        <v>30</v>
      </c>
      <c r="I4" s="7" t="s">
        <v>25</v>
      </c>
      <c r="J4" s="7">
        <v>20</v>
      </c>
      <c r="K4">
        <f>SUMIFS(J:J,H:H,"A",I:I,"APPLE")</f>
        <v>110</v>
      </c>
      <c r="S4">
        <f>COUNTIFS(H:H,"A",I:I,"APPLE")</f>
        <v>4</v>
      </c>
    </row>
    <row r="5" spans="1:20" x14ac:dyDescent="0.3">
      <c r="A5" s="7" t="s">
        <v>31</v>
      </c>
      <c r="B5" s="7">
        <v>20</v>
      </c>
      <c r="C5">
        <f>SUMIF(A:A,"*OFFICE",B:B)</f>
        <v>110</v>
      </c>
      <c r="D5" t="s">
        <v>32</v>
      </c>
      <c r="H5" s="7" t="s">
        <v>30</v>
      </c>
      <c r="I5" s="7" t="s">
        <v>27</v>
      </c>
      <c r="J5" s="7">
        <v>30</v>
      </c>
    </row>
    <row r="6" spans="1:20" x14ac:dyDescent="0.3">
      <c r="A6" s="7" t="s">
        <v>33</v>
      </c>
      <c r="B6" s="7">
        <v>50</v>
      </c>
      <c r="C6">
        <f>SUMIF(A:A,"SOUTH *",B:B)</f>
        <v>110</v>
      </c>
      <c r="D6" t="s">
        <v>34</v>
      </c>
      <c r="H6" s="7" t="s">
        <v>24</v>
      </c>
      <c r="I6" s="7" t="s">
        <v>35</v>
      </c>
      <c r="J6" s="7">
        <v>40</v>
      </c>
      <c r="K6" t="s">
        <v>49</v>
      </c>
    </row>
    <row r="7" spans="1:20" x14ac:dyDescent="0.3">
      <c r="A7" s="7" t="s">
        <v>36</v>
      </c>
      <c r="B7" s="7">
        <v>60</v>
      </c>
      <c r="H7" s="7" t="s">
        <v>24</v>
      </c>
      <c r="I7" s="7" t="s">
        <v>25</v>
      </c>
      <c r="J7" s="7">
        <v>50</v>
      </c>
      <c r="K7">
        <f>SUMIFS(J:J,H:H,"B",I:I,"KIWI")</f>
        <v>60</v>
      </c>
    </row>
    <row r="8" spans="1:20" x14ac:dyDescent="0.3">
      <c r="A8" s="7" t="s">
        <v>37</v>
      </c>
      <c r="B8" s="7">
        <v>50</v>
      </c>
      <c r="C8">
        <f>AVERAGEIF(A:A,"SOUTH",B:B)</f>
        <v>75</v>
      </c>
      <c r="D8" t="s">
        <v>38</v>
      </c>
      <c r="H8" s="7" t="s">
        <v>30</v>
      </c>
      <c r="I8" s="7" t="s">
        <v>35</v>
      </c>
      <c r="J8" s="7">
        <v>60</v>
      </c>
    </row>
    <row r="9" spans="1:20" x14ac:dyDescent="0.3">
      <c r="A9" s="7" t="s">
        <v>39</v>
      </c>
      <c r="B9" s="7">
        <v>50</v>
      </c>
      <c r="C9">
        <f>AVERAGEIF(A:A,"E??T",B:B)</f>
        <v>40</v>
      </c>
      <c r="D9" t="s">
        <v>40</v>
      </c>
      <c r="H9" s="7" t="s">
        <v>41</v>
      </c>
      <c r="I9" s="7" t="s">
        <v>35</v>
      </c>
      <c r="J9" s="7">
        <v>70</v>
      </c>
      <c r="K9" t="s">
        <v>50</v>
      </c>
    </row>
    <row r="10" spans="1:20" x14ac:dyDescent="0.3">
      <c r="A10" s="7" t="s">
        <v>42</v>
      </c>
      <c r="B10" s="7">
        <v>80</v>
      </c>
      <c r="C10">
        <f>AVERAGEIF(A:A,"*OFFICE",B:B)</f>
        <v>55</v>
      </c>
      <c r="H10" s="7" t="s">
        <v>41</v>
      </c>
      <c r="I10" s="7" t="s">
        <v>27</v>
      </c>
      <c r="J10" s="7">
        <v>80</v>
      </c>
      <c r="K10" t="s">
        <v>51</v>
      </c>
    </row>
    <row r="11" spans="1:20" x14ac:dyDescent="0.3">
      <c r="A11" s="7" t="s">
        <v>43</v>
      </c>
      <c r="B11" s="7">
        <v>90</v>
      </c>
      <c r="H11" s="7" t="s">
        <v>41</v>
      </c>
      <c r="I11" s="7" t="s">
        <v>27</v>
      </c>
      <c r="J11" s="7">
        <v>10</v>
      </c>
    </row>
    <row r="12" spans="1:20" x14ac:dyDescent="0.3">
      <c r="A12" s="7" t="s">
        <v>26</v>
      </c>
      <c r="B12" s="7">
        <v>80</v>
      </c>
      <c r="C12">
        <f>COUNTIF(A:A,"EAST")</f>
        <v>2</v>
      </c>
      <c r="D12" t="s">
        <v>44</v>
      </c>
      <c r="H12" s="7" t="s">
        <v>24</v>
      </c>
      <c r="I12" s="7" t="s">
        <v>25</v>
      </c>
      <c r="J12" s="7">
        <v>20</v>
      </c>
      <c r="P12" t="s">
        <v>54</v>
      </c>
    </row>
    <row r="13" spans="1:20" x14ac:dyDescent="0.3">
      <c r="A13" s="7" t="s">
        <v>22</v>
      </c>
      <c r="B13" s="7">
        <v>50</v>
      </c>
      <c r="H13" s="7" t="s">
        <v>30</v>
      </c>
      <c r="I13" s="7" t="s">
        <v>27</v>
      </c>
      <c r="J13" s="7">
        <v>30</v>
      </c>
    </row>
    <row r="14" spans="1:20" x14ac:dyDescent="0.3">
      <c r="A14" s="7" t="s">
        <v>28</v>
      </c>
      <c r="B14" s="7">
        <v>20</v>
      </c>
      <c r="H14" s="7" t="s">
        <v>24</v>
      </c>
      <c r="I14" s="7" t="s">
        <v>25</v>
      </c>
      <c r="J14" s="7">
        <v>20</v>
      </c>
    </row>
    <row r="15" spans="1:20" x14ac:dyDescent="0.3">
      <c r="D15" t="s">
        <v>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A43-591C-457C-96BC-516A71B37706}">
  <dimension ref="A1:N22"/>
  <sheetViews>
    <sheetView workbookViewId="0">
      <selection activeCell="N6" sqref="N6"/>
    </sheetView>
  </sheetViews>
  <sheetFormatPr defaultRowHeight="14.4" x14ac:dyDescent="0.3"/>
  <cols>
    <col min="2" max="2" width="10.33203125" bestFit="1" customWidth="1"/>
    <col min="13" max="13" width="10.33203125" bestFit="1" customWidth="1"/>
  </cols>
  <sheetData>
    <row r="1" spans="1:14" x14ac:dyDescent="0.3">
      <c r="A1" s="9"/>
      <c r="B1" s="10"/>
      <c r="C1" s="10"/>
      <c r="D1" s="10"/>
      <c r="E1" s="10"/>
      <c r="F1" s="10"/>
      <c r="G1" s="10"/>
      <c r="H1" s="11"/>
    </row>
    <row r="2" spans="1:14" x14ac:dyDescent="0.3">
      <c r="A2" s="12" t="s">
        <v>56</v>
      </c>
      <c r="B2" s="13"/>
      <c r="C2" s="13"/>
      <c r="D2" s="13"/>
      <c r="E2" s="13"/>
      <c r="F2" s="13"/>
      <c r="G2" s="13"/>
      <c r="H2" s="14"/>
    </row>
    <row r="3" spans="1:14" x14ac:dyDescent="0.3">
      <c r="A3" s="12">
        <v>14</v>
      </c>
      <c r="B3" s="13" t="str">
        <f t="shared" ref="B3:B8" si="0">IF(A3&lt;18,"BELOW 18","ABOVE 18")</f>
        <v>BELOW 18</v>
      </c>
      <c r="C3" s="13"/>
      <c r="D3" s="13" t="s">
        <v>57</v>
      </c>
      <c r="E3" s="13"/>
      <c r="F3" s="13"/>
      <c r="G3" s="13"/>
      <c r="H3" s="14"/>
    </row>
    <row r="4" spans="1:14" x14ac:dyDescent="0.3">
      <c r="A4" s="12">
        <v>13</v>
      </c>
      <c r="B4" s="13" t="str">
        <f t="shared" si="0"/>
        <v>BELOW 18</v>
      </c>
      <c r="C4" s="13"/>
      <c r="D4" s="13"/>
      <c r="E4" s="13"/>
      <c r="F4" s="13"/>
      <c r="G4" s="13"/>
      <c r="H4" s="14"/>
      <c r="K4" s="7" t="s">
        <v>56</v>
      </c>
      <c r="L4" s="7" t="s">
        <v>58</v>
      </c>
    </row>
    <row r="5" spans="1:14" x14ac:dyDescent="0.3">
      <c r="A5" s="12">
        <v>15</v>
      </c>
      <c r="B5" s="13" t="str">
        <f t="shared" si="0"/>
        <v>BELOW 18</v>
      </c>
      <c r="C5" s="13"/>
      <c r="D5" s="13"/>
      <c r="E5" s="13"/>
      <c r="F5" s="13"/>
      <c r="G5" s="13"/>
      <c r="H5" s="14"/>
      <c r="K5" s="7">
        <v>18</v>
      </c>
      <c r="L5" s="7" t="s">
        <v>59</v>
      </c>
      <c r="N5" t="str">
        <f>IF(AND(K5&lt;18,L5="INDIA"),"BELOW 18 INDIA",IF(AND(K5&lt;18,L5&lt;&gt;"INDIA"),"BELOW 18"&amp;L5,IF(AND(K5&lt;56="INDIA"),"MIDDLE INDIA",IF(AND(K5&lt;56,L5&lt;&gt;"INDIA"),"MIDDLEAGE"&amp;L5,IF(AND(K5&gt;56,L5="INDIA"),"SR.CIT.INDIA","SR.CIT"&amp;L5)))))</f>
        <v>SR.CITINDIA</v>
      </c>
    </row>
    <row r="6" spans="1:14" x14ac:dyDescent="0.3">
      <c r="A6" s="12">
        <v>19</v>
      </c>
      <c r="B6" s="13" t="str">
        <f t="shared" si="0"/>
        <v>ABOVE 18</v>
      </c>
      <c r="C6" s="13"/>
      <c r="D6" s="13"/>
      <c r="E6" s="13"/>
      <c r="F6" s="13"/>
      <c r="G6" s="13"/>
      <c r="H6" s="14"/>
      <c r="K6" s="7">
        <v>21</v>
      </c>
      <c r="L6" s="7" t="s">
        <v>60</v>
      </c>
      <c r="N6" t="str">
        <f t="shared" ref="N6:N16" si="1">IF(AND(K6&lt;18,L6="INDIA"),"BELOW 18 INDIA",IF(AND(K6&lt;18,L6&lt;&gt;"INDIA"),"BELOW 18"&amp;L6,IF(AND(K6&lt;56="INDIA"),"MIDDLE INDIA",IF(AND(K6&lt;56,L6&lt;&gt;"INDIA"),"MIDDLEAGE"&amp;L6,IF(AND(K6&gt;56,L6="INDIA"),"SR.CIT.INDIA","SR.CIT"&amp;L6)))))</f>
        <v>MIDDLEAGERUSSIA</v>
      </c>
    </row>
    <row r="7" spans="1:14" x14ac:dyDescent="0.3">
      <c r="A7" s="12">
        <v>21</v>
      </c>
      <c r="B7" s="13" t="str">
        <f t="shared" si="0"/>
        <v>ABOVE 18</v>
      </c>
      <c r="C7" s="13"/>
      <c r="D7" s="13"/>
      <c r="E7" s="13"/>
      <c r="F7" s="13"/>
      <c r="G7" s="13"/>
      <c r="H7" s="14"/>
      <c r="K7" s="7">
        <v>14</v>
      </c>
      <c r="L7" s="7" t="s">
        <v>61</v>
      </c>
      <c r="N7" t="str">
        <f t="shared" si="1"/>
        <v>BELOW 18USA</v>
      </c>
    </row>
    <row r="8" spans="1:14" x14ac:dyDescent="0.3">
      <c r="A8" s="12">
        <v>14</v>
      </c>
      <c r="B8" s="13" t="str">
        <f t="shared" si="0"/>
        <v>BELOW 18</v>
      </c>
      <c r="C8" s="13"/>
      <c r="D8" s="13"/>
      <c r="E8" s="13"/>
      <c r="F8" s="13"/>
      <c r="G8" s="13"/>
      <c r="H8" s="14"/>
      <c r="K8" s="7">
        <v>13</v>
      </c>
      <c r="L8" s="7" t="s">
        <v>60</v>
      </c>
      <c r="N8" t="str">
        <f t="shared" si="1"/>
        <v>BELOW 18RUSSIA</v>
      </c>
    </row>
    <row r="9" spans="1:14" x14ac:dyDescent="0.3">
      <c r="A9" s="12"/>
      <c r="B9" s="13"/>
      <c r="C9" s="13"/>
      <c r="D9" s="13"/>
      <c r="E9" s="13"/>
      <c r="F9" s="13"/>
      <c r="G9" s="13"/>
      <c r="H9" s="14"/>
      <c r="K9" s="7">
        <v>17</v>
      </c>
      <c r="L9" s="7" t="s">
        <v>59</v>
      </c>
      <c r="N9" t="str">
        <f t="shared" si="1"/>
        <v>BELOW 18 INDIA</v>
      </c>
    </row>
    <row r="10" spans="1:14" x14ac:dyDescent="0.3">
      <c r="A10" s="12"/>
      <c r="B10" s="13"/>
      <c r="C10" s="13"/>
      <c r="D10" s="13"/>
      <c r="E10" s="13"/>
      <c r="F10" s="13"/>
      <c r="G10" s="13"/>
      <c r="H10" s="14"/>
      <c r="K10" s="7">
        <v>19</v>
      </c>
      <c r="L10" s="7" t="s">
        <v>62</v>
      </c>
      <c r="N10" t="str">
        <f t="shared" si="1"/>
        <v>MIDDLEAGEUK</v>
      </c>
    </row>
    <row r="11" spans="1:14" x14ac:dyDescent="0.3">
      <c r="A11" s="12"/>
      <c r="B11" s="13"/>
      <c r="C11" s="13"/>
      <c r="D11" s="13"/>
      <c r="E11" s="13"/>
      <c r="F11" s="13"/>
      <c r="G11" s="13"/>
      <c r="H11" s="14"/>
      <c r="K11" s="7">
        <v>20</v>
      </c>
      <c r="L11" s="7" t="s">
        <v>59</v>
      </c>
      <c r="N11" t="str">
        <f t="shared" si="1"/>
        <v>SR.CITINDIA</v>
      </c>
    </row>
    <row r="12" spans="1:14" x14ac:dyDescent="0.3">
      <c r="A12" s="12"/>
      <c r="B12" s="19">
        <v>46062</v>
      </c>
      <c r="C12" s="13"/>
      <c r="D12" s="13"/>
      <c r="E12" s="13"/>
      <c r="F12" s="13"/>
      <c r="G12" s="13"/>
      <c r="H12" s="14"/>
      <c r="K12" s="7">
        <v>65</v>
      </c>
      <c r="L12" s="7" t="s">
        <v>59</v>
      </c>
      <c r="N12" t="str">
        <f t="shared" si="1"/>
        <v>SR.CIT.INDIA</v>
      </c>
    </row>
    <row r="13" spans="1:14" x14ac:dyDescent="0.3">
      <c r="A13" s="12"/>
      <c r="B13" s="13"/>
      <c r="C13" s="13"/>
      <c r="D13" s="13"/>
      <c r="E13" s="13"/>
      <c r="F13" s="13"/>
      <c r="G13" s="13"/>
      <c r="H13" s="14"/>
      <c r="K13" s="7">
        <v>43</v>
      </c>
      <c r="L13" s="7" t="s">
        <v>61</v>
      </c>
      <c r="N13" t="str">
        <f t="shared" si="1"/>
        <v>MIDDLEAGEUSA</v>
      </c>
    </row>
    <row r="14" spans="1:14" x14ac:dyDescent="0.3">
      <c r="A14" s="12"/>
      <c r="B14" s="13"/>
      <c r="C14" s="13"/>
      <c r="D14" s="13"/>
      <c r="E14" s="13"/>
      <c r="F14" s="13"/>
      <c r="G14" s="13"/>
      <c r="H14" s="14"/>
      <c r="K14" s="7">
        <v>21</v>
      </c>
      <c r="L14" s="7" t="s">
        <v>62</v>
      </c>
      <c r="N14" t="str">
        <f t="shared" si="1"/>
        <v>MIDDLEAGEUK</v>
      </c>
    </row>
    <row r="15" spans="1:14" x14ac:dyDescent="0.3">
      <c r="A15" s="12"/>
      <c r="B15" s="13"/>
      <c r="C15" s="13"/>
      <c r="D15" s="13"/>
      <c r="E15" s="13"/>
      <c r="F15" s="13"/>
      <c r="G15" s="13"/>
      <c r="H15" s="14"/>
      <c r="K15" s="7">
        <v>19</v>
      </c>
      <c r="L15" s="7" t="s">
        <v>61</v>
      </c>
      <c r="N15" t="str">
        <f t="shared" si="1"/>
        <v>MIDDLEAGEUSA</v>
      </c>
    </row>
    <row r="16" spans="1:14" x14ac:dyDescent="0.3">
      <c r="A16" s="12"/>
      <c r="B16" s="13"/>
      <c r="C16" s="13"/>
      <c r="D16" s="13"/>
      <c r="E16" s="13"/>
      <c r="F16" s="13"/>
      <c r="G16" s="13"/>
      <c r="H16" s="14"/>
      <c r="K16" s="7">
        <v>17</v>
      </c>
      <c r="L16" s="7" t="s">
        <v>62</v>
      </c>
      <c r="N16" t="str">
        <f t="shared" si="1"/>
        <v>BELOW 18UK</v>
      </c>
    </row>
    <row r="17" spans="1:13" x14ac:dyDescent="0.3">
      <c r="A17" s="12"/>
      <c r="B17" s="13"/>
      <c r="C17" s="13"/>
      <c r="D17" s="13"/>
      <c r="E17" s="13"/>
      <c r="F17" s="13"/>
      <c r="G17" s="13"/>
      <c r="H17" s="14"/>
    </row>
    <row r="18" spans="1:13" x14ac:dyDescent="0.3">
      <c r="A18" s="12"/>
      <c r="B18" s="13"/>
      <c r="C18" s="13"/>
      <c r="D18" s="13"/>
      <c r="E18" s="13"/>
      <c r="F18" s="13"/>
      <c r="G18" s="13"/>
      <c r="H18" s="14"/>
    </row>
    <row r="19" spans="1:13" x14ac:dyDescent="0.3">
      <c r="A19" s="15"/>
      <c r="B19" s="16"/>
      <c r="C19" s="16"/>
      <c r="D19" s="16"/>
      <c r="E19" s="16"/>
      <c r="F19" s="16"/>
      <c r="G19" s="16"/>
      <c r="H19" s="17"/>
    </row>
    <row r="20" spans="1:13" x14ac:dyDescent="0.3">
      <c r="J20" t="s">
        <v>67</v>
      </c>
    </row>
    <row r="22" spans="1:13" x14ac:dyDescent="0.3">
      <c r="M22" s="18">
        <v>46063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29B2-AA59-4336-90E8-7E99BBF68640}">
  <dimension ref="A2:J18"/>
  <sheetViews>
    <sheetView workbookViewId="0">
      <selection activeCell="H14" sqref="H14"/>
    </sheetView>
  </sheetViews>
  <sheetFormatPr defaultRowHeight="14.4" x14ac:dyDescent="0.3"/>
  <cols>
    <col min="8" max="8" width="26.21875" customWidth="1"/>
    <col min="9" max="9" width="15.6640625" customWidth="1"/>
    <col min="10" max="10" width="17.88671875" customWidth="1"/>
    <col min="11" max="11" width="10.33203125" bestFit="1" customWidth="1"/>
    <col min="12" max="12" width="15.88671875" customWidth="1"/>
    <col min="14" max="14" width="11.109375" customWidth="1"/>
    <col min="15" max="15" width="21.44140625" bestFit="1" customWidth="1"/>
    <col min="17" max="17" width="12.6640625" bestFit="1" customWidth="1"/>
    <col min="19" max="19" width="13.21875" bestFit="1" customWidth="1"/>
    <col min="20" max="20" width="12.109375" bestFit="1" customWidth="1"/>
  </cols>
  <sheetData>
    <row r="2" spans="1:10" x14ac:dyDescent="0.3">
      <c r="H2" t="s">
        <v>87</v>
      </c>
      <c r="I2" t="s">
        <v>88</v>
      </c>
    </row>
    <row r="3" spans="1:10" x14ac:dyDescent="0.3">
      <c r="G3" s="7"/>
      <c r="H3" s="7" t="s">
        <v>85</v>
      </c>
      <c r="I3" s="7" t="s">
        <v>84</v>
      </c>
      <c r="J3" s="7" t="s">
        <v>86</v>
      </c>
    </row>
    <row r="4" spans="1:10" x14ac:dyDescent="0.3">
      <c r="A4" s="7" t="s">
        <v>68</v>
      </c>
      <c r="B4" s="7" t="s">
        <v>69</v>
      </c>
      <c r="C4" s="7" t="s">
        <v>70</v>
      </c>
      <c r="D4" s="7" t="s">
        <v>71</v>
      </c>
      <c r="G4" s="7" t="s">
        <v>68</v>
      </c>
      <c r="H4" s="7" t="s">
        <v>83</v>
      </c>
      <c r="I4" s="7"/>
      <c r="J4" s="7"/>
    </row>
    <row r="5" spans="1:10" x14ac:dyDescent="0.3">
      <c r="A5" s="7">
        <v>101</v>
      </c>
      <c r="B5" s="7" t="s">
        <v>72</v>
      </c>
      <c r="C5" s="7">
        <v>9789</v>
      </c>
      <c r="D5" s="7">
        <v>1400</v>
      </c>
      <c r="G5" s="7">
        <v>106</v>
      </c>
      <c r="H5" s="7">
        <f>MATCH(G5,A:A,0)</f>
        <v>12</v>
      </c>
      <c r="I5" s="7" cm="1">
        <f t="array" ref="I5">INDEX(C:C,H5)</f>
        <v>9796</v>
      </c>
      <c r="J5" s="7">
        <f>INDEX(C:C,MATCH(A7,A:A,0))</f>
        <v>9791</v>
      </c>
    </row>
    <row r="6" spans="1:10" x14ac:dyDescent="0.3">
      <c r="A6" s="7">
        <v>110</v>
      </c>
      <c r="B6" s="7" t="s">
        <v>73</v>
      </c>
      <c r="C6" s="7">
        <v>9790</v>
      </c>
      <c r="D6" s="7">
        <v>1450</v>
      </c>
      <c r="G6" s="7">
        <v>108</v>
      </c>
      <c r="H6" s="7">
        <f>MATCH(G6,A:A,0)</f>
        <v>14</v>
      </c>
      <c r="I6" s="7" cm="1">
        <f t="array" ref="I6">INDEX(C:C,H6)</f>
        <v>9798</v>
      </c>
      <c r="J6" s="7">
        <f>INDEX(C:C,MATCH(A8,A:A,0))</f>
        <v>9792</v>
      </c>
    </row>
    <row r="7" spans="1:10" x14ac:dyDescent="0.3">
      <c r="A7" s="7">
        <v>104</v>
      </c>
      <c r="B7" s="7" t="s">
        <v>74</v>
      </c>
      <c r="C7" s="7">
        <v>9791</v>
      </c>
      <c r="D7" s="7">
        <v>1250</v>
      </c>
      <c r="G7" s="7">
        <v>103</v>
      </c>
      <c r="H7" s="7">
        <f>MATCH(G7,A:A,0)</f>
        <v>10</v>
      </c>
      <c r="I7" s="7" cm="1">
        <f t="array" ref="I7">INDEX(C:C,H7)</f>
        <v>9794</v>
      </c>
      <c r="J7" s="7">
        <f>INDEX(C:C,MATCH(A9,A:A,0))</f>
        <v>9793</v>
      </c>
    </row>
    <row r="8" spans="1:10" x14ac:dyDescent="0.3">
      <c r="A8" s="7">
        <v>102</v>
      </c>
      <c r="B8" s="7" t="s">
        <v>75</v>
      </c>
      <c r="C8" s="7">
        <v>9792</v>
      </c>
      <c r="D8" s="7">
        <v>1600</v>
      </c>
    </row>
    <row r="9" spans="1:10" x14ac:dyDescent="0.3">
      <c r="A9" s="7">
        <v>107</v>
      </c>
      <c r="B9" s="7" t="s">
        <v>76</v>
      </c>
      <c r="C9" s="7">
        <v>9793</v>
      </c>
      <c r="D9" s="7">
        <v>1800</v>
      </c>
    </row>
    <row r="10" spans="1:10" x14ac:dyDescent="0.3">
      <c r="A10" s="7">
        <v>103</v>
      </c>
      <c r="B10" s="7" t="s">
        <v>77</v>
      </c>
      <c r="C10" s="7">
        <v>9794</v>
      </c>
      <c r="D10" s="7">
        <v>1400</v>
      </c>
    </row>
    <row r="11" spans="1:10" x14ac:dyDescent="0.3">
      <c r="A11" s="7">
        <v>105</v>
      </c>
      <c r="B11" s="7" t="s">
        <v>78</v>
      </c>
      <c r="C11" s="7">
        <v>9795</v>
      </c>
      <c r="D11" s="7">
        <v>2000</v>
      </c>
    </row>
    <row r="12" spans="1:10" x14ac:dyDescent="0.3">
      <c r="A12" s="7">
        <v>106</v>
      </c>
      <c r="B12" s="7" t="s">
        <v>79</v>
      </c>
      <c r="C12" s="7">
        <v>9796</v>
      </c>
      <c r="D12" s="7">
        <v>1400</v>
      </c>
    </row>
    <row r="13" spans="1:10" x14ac:dyDescent="0.3">
      <c r="A13" s="7">
        <v>109</v>
      </c>
      <c r="B13" s="7" t="s">
        <v>79</v>
      </c>
      <c r="C13" s="7">
        <v>9797</v>
      </c>
      <c r="D13" s="7">
        <v>2000</v>
      </c>
    </row>
    <row r="14" spans="1:10" x14ac:dyDescent="0.3">
      <c r="A14" s="7">
        <v>108</v>
      </c>
      <c r="B14" s="7" t="s">
        <v>80</v>
      </c>
      <c r="C14" s="7">
        <v>9798</v>
      </c>
      <c r="D14" s="7">
        <v>1400</v>
      </c>
    </row>
    <row r="17" spans="1:1" x14ac:dyDescent="0.3">
      <c r="A17" t="s">
        <v>81</v>
      </c>
    </row>
    <row r="18" spans="1:1" x14ac:dyDescent="0.3">
      <c r="A18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0A8F-8DD6-4FD7-8064-A12458ABDA4C}">
  <dimension ref="D3:L16"/>
  <sheetViews>
    <sheetView workbookViewId="0">
      <selection activeCell="G16" sqref="G16"/>
    </sheetView>
  </sheetViews>
  <sheetFormatPr defaultRowHeight="14.4" x14ac:dyDescent="0.3"/>
  <cols>
    <col min="4" max="4" width="10.33203125" bestFit="1" customWidth="1"/>
  </cols>
  <sheetData>
    <row r="3" spans="4:12" x14ac:dyDescent="0.3">
      <c r="K3" t="s">
        <v>63</v>
      </c>
      <c r="L3" t="s">
        <v>64</v>
      </c>
    </row>
    <row r="4" spans="4:12" x14ac:dyDescent="0.3">
      <c r="D4" s="18">
        <v>46063</v>
      </c>
      <c r="H4" s="7" t="s">
        <v>56</v>
      </c>
      <c r="I4" s="7" t="s">
        <v>58</v>
      </c>
    </row>
    <row r="5" spans="4:12" x14ac:dyDescent="0.3">
      <c r="H5" s="7">
        <v>18</v>
      </c>
      <c r="I5" s="7" t="s">
        <v>59</v>
      </c>
      <c r="K5" t="b">
        <f t="shared" ref="K5:K16" si="0">AND(H5&lt;18,I5="INDIA")</f>
        <v>0</v>
      </c>
      <c r="L5" t="b">
        <f>OR(H5&lt;18,I5="INDIA")</f>
        <v>1</v>
      </c>
    </row>
    <row r="6" spans="4:12" x14ac:dyDescent="0.3">
      <c r="H6" s="7">
        <v>21</v>
      </c>
      <c r="I6" s="7" t="s">
        <v>60</v>
      </c>
      <c r="K6" t="b">
        <f t="shared" si="0"/>
        <v>0</v>
      </c>
      <c r="L6" t="b">
        <f t="shared" ref="L6:L16" si="1">OR(H6&lt;18,I6="INDIA")</f>
        <v>0</v>
      </c>
    </row>
    <row r="7" spans="4:12" x14ac:dyDescent="0.3">
      <c r="H7" s="7">
        <v>14</v>
      </c>
      <c r="I7" s="7" t="s">
        <v>61</v>
      </c>
      <c r="K7" t="b">
        <f t="shared" si="0"/>
        <v>0</v>
      </c>
      <c r="L7" t="b">
        <f t="shared" si="1"/>
        <v>1</v>
      </c>
    </row>
    <row r="8" spans="4:12" x14ac:dyDescent="0.3">
      <c r="D8" t="s">
        <v>65</v>
      </c>
      <c r="H8" s="7">
        <v>13</v>
      </c>
      <c r="I8" s="7" t="s">
        <v>60</v>
      </c>
      <c r="K8" t="b">
        <f t="shared" si="0"/>
        <v>0</v>
      </c>
      <c r="L8" t="b">
        <f t="shared" si="1"/>
        <v>1</v>
      </c>
    </row>
    <row r="9" spans="4:12" x14ac:dyDescent="0.3">
      <c r="D9" t="s">
        <v>66</v>
      </c>
      <c r="H9" s="7">
        <v>17</v>
      </c>
      <c r="I9" s="7" t="s">
        <v>59</v>
      </c>
      <c r="K9" t="b">
        <f t="shared" si="0"/>
        <v>1</v>
      </c>
      <c r="L9" t="b">
        <f t="shared" si="1"/>
        <v>1</v>
      </c>
    </row>
    <row r="10" spans="4:12" x14ac:dyDescent="0.3">
      <c r="H10" s="7">
        <v>19</v>
      </c>
      <c r="I10" s="7" t="s">
        <v>62</v>
      </c>
      <c r="K10" t="b">
        <f t="shared" si="0"/>
        <v>0</v>
      </c>
      <c r="L10" t="b">
        <f t="shared" si="1"/>
        <v>0</v>
      </c>
    </row>
    <row r="11" spans="4:12" x14ac:dyDescent="0.3">
      <c r="H11" s="7">
        <v>20</v>
      </c>
      <c r="I11" s="7" t="s">
        <v>59</v>
      </c>
      <c r="K11" t="b">
        <f t="shared" si="0"/>
        <v>0</v>
      </c>
      <c r="L11" t="b">
        <f t="shared" si="1"/>
        <v>1</v>
      </c>
    </row>
    <row r="12" spans="4:12" x14ac:dyDescent="0.3">
      <c r="H12" s="7">
        <v>65</v>
      </c>
      <c r="I12" s="7" t="s">
        <v>59</v>
      </c>
      <c r="K12" t="b">
        <f t="shared" si="0"/>
        <v>0</v>
      </c>
      <c r="L12" t="b">
        <f t="shared" si="1"/>
        <v>1</v>
      </c>
    </row>
    <row r="13" spans="4:12" x14ac:dyDescent="0.3">
      <c r="H13" s="7">
        <v>43</v>
      </c>
      <c r="I13" s="7" t="s">
        <v>61</v>
      </c>
      <c r="K13" t="b">
        <f t="shared" si="0"/>
        <v>0</v>
      </c>
      <c r="L13" t="b">
        <f t="shared" si="1"/>
        <v>0</v>
      </c>
    </row>
    <row r="14" spans="4:12" x14ac:dyDescent="0.3">
      <c r="H14" s="7">
        <v>21</v>
      </c>
      <c r="I14" s="7" t="s">
        <v>62</v>
      </c>
      <c r="K14" t="b">
        <f t="shared" si="0"/>
        <v>0</v>
      </c>
      <c r="L14" t="b">
        <f t="shared" si="1"/>
        <v>0</v>
      </c>
    </row>
    <row r="15" spans="4:12" x14ac:dyDescent="0.3">
      <c r="H15" s="7">
        <v>19</v>
      </c>
      <c r="I15" s="7" t="s">
        <v>61</v>
      </c>
      <c r="K15" t="b">
        <f t="shared" si="0"/>
        <v>0</v>
      </c>
      <c r="L15" t="b">
        <f t="shared" si="1"/>
        <v>0</v>
      </c>
    </row>
    <row r="16" spans="4:12" x14ac:dyDescent="0.3">
      <c r="H16" s="7">
        <v>17</v>
      </c>
      <c r="I16" s="7" t="s">
        <v>62</v>
      </c>
      <c r="K16" t="b">
        <f t="shared" si="0"/>
        <v>0</v>
      </c>
      <c r="L16" t="b">
        <f t="shared" si="1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9358-2327-40E9-BC16-4CCDD462EC6F}">
  <dimension ref="A3:T27"/>
  <sheetViews>
    <sheetView topLeftCell="A3" zoomScale="81" workbookViewId="0">
      <selection activeCell="L14" sqref="L14"/>
    </sheetView>
  </sheetViews>
  <sheetFormatPr defaultRowHeight="14.4" x14ac:dyDescent="0.3"/>
  <cols>
    <col min="8" max="9" width="10.33203125" bestFit="1" customWidth="1"/>
  </cols>
  <sheetData>
    <row r="3" spans="1:14" x14ac:dyDescent="0.3">
      <c r="A3" s="7" t="s">
        <v>68</v>
      </c>
      <c r="B3" s="7" t="s">
        <v>69</v>
      </c>
      <c r="C3" s="7" t="s">
        <v>70</v>
      </c>
      <c r="D3" s="7" t="s">
        <v>71</v>
      </c>
      <c r="I3" s="7"/>
      <c r="J3" s="7" t="s">
        <v>69</v>
      </c>
      <c r="K3" s="7" t="s">
        <v>70</v>
      </c>
      <c r="L3" s="20" t="s">
        <v>90</v>
      </c>
      <c r="M3" s="7"/>
      <c r="N3" s="7" t="s">
        <v>91</v>
      </c>
    </row>
    <row r="4" spans="1:14" x14ac:dyDescent="0.3">
      <c r="A4" s="7">
        <v>101</v>
      </c>
      <c r="B4" s="7" t="s">
        <v>72</v>
      </c>
      <c r="C4" s="7">
        <v>9789</v>
      </c>
      <c r="D4" s="7">
        <v>1400</v>
      </c>
      <c r="I4" s="7">
        <v>110</v>
      </c>
      <c r="J4" s="7" t="str">
        <f>VLOOKUP(I4,'INDEX AND MATCH'!A:D,2,FALSE)</f>
        <v>A2</v>
      </c>
      <c r="K4" s="7">
        <f>VLOOKUP(I5,'INDEX AND MATCH'!A:D,3,0)</f>
        <v>9795</v>
      </c>
      <c r="L4" s="7">
        <f>_xlfn.IFNA(VLOOKUP(I4,'INDEX AND MATCH'!A:D,3,FALSE),"VALUE IS NOT AVAILABLE")</f>
        <v>9790</v>
      </c>
      <c r="M4" s="7" t="s">
        <v>72</v>
      </c>
      <c r="N4" s="7">
        <f>INDEX('INDEX AND MATCH'!A:A,MATCH(M4,'INDEX AND MATCH'!B:B,0))</f>
        <v>101</v>
      </c>
    </row>
    <row r="5" spans="1:14" x14ac:dyDescent="0.3">
      <c r="A5" s="7">
        <v>110</v>
      </c>
      <c r="B5" s="7" t="s">
        <v>73</v>
      </c>
      <c r="C5" s="7">
        <v>9790</v>
      </c>
      <c r="D5" s="7">
        <v>1450</v>
      </c>
      <c r="I5" s="7">
        <v>105</v>
      </c>
      <c r="J5" s="7" t="str">
        <f>VLOOKUP(I5,'INDEX AND MATCH'!A:D,2,FALSE)</f>
        <v>A7</v>
      </c>
      <c r="K5" s="7">
        <f>VLOOKUP(I6,'INDEX AND MATCH'!A:D,3,0)</f>
        <v>9793</v>
      </c>
      <c r="L5" s="7">
        <f>_xlfn.IFNA(VLOOKUP(I5,'INDEX AND MATCH'!A:D,3,FALSE),"VALUE IS NOT AVAILABLE")</f>
        <v>9795</v>
      </c>
      <c r="M5" s="7" t="s">
        <v>73</v>
      </c>
      <c r="N5" s="7">
        <f>INDEX('INDEX AND MATCH'!A:A,MATCH(M5,'INDEX AND MATCH'!B:B,0))</f>
        <v>110</v>
      </c>
    </row>
    <row r="6" spans="1:14" x14ac:dyDescent="0.3">
      <c r="A6" s="7">
        <v>104</v>
      </c>
      <c r="B6" s="7" t="s">
        <v>74</v>
      </c>
      <c r="C6" s="7">
        <v>9791</v>
      </c>
      <c r="D6" s="7">
        <v>1250</v>
      </c>
      <c r="H6" s="18">
        <v>46063</v>
      </c>
      <c r="I6" s="7">
        <v>107</v>
      </c>
      <c r="J6" s="7" t="str">
        <f>VLOOKUP(I6,'INDEX AND MATCH'!A:D,2,FALSE)</f>
        <v>A5</v>
      </c>
      <c r="K6" s="7" t="e">
        <f>VLOOKUP(I7,'INDEX AND MATCH'!A:D,3,0)</f>
        <v>#N/A</v>
      </c>
      <c r="L6" s="7">
        <f>_xlfn.IFNA(VLOOKUP(I6,'INDEX AND MATCH'!A:D,3,FALSE),"VALUE IS NOT AVAILABLE")</f>
        <v>9793</v>
      </c>
      <c r="M6" s="7" t="s">
        <v>74</v>
      </c>
      <c r="N6" s="7">
        <f>INDEX('INDEX AND MATCH'!A:A,MATCH(M6,'INDEX AND MATCH'!B:B,0))</f>
        <v>104</v>
      </c>
    </row>
    <row r="7" spans="1:14" x14ac:dyDescent="0.3">
      <c r="A7" s="7">
        <v>102</v>
      </c>
      <c r="B7" s="7" t="s">
        <v>75</v>
      </c>
      <c r="C7" s="7">
        <v>9792</v>
      </c>
      <c r="D7" s="7">
        <v>1600</v>
      </c>
      <c r="I7" s="7">
        <v>113</v>
      </c>
      <c r="J7" s="7"/>
      <c r="K7" s="7" t="e">
        <f>VLOOKUP(I8,'INDEX AND MATCH'!A:D,3,0)</f>
        <v>#N/A</v>
      </c>
      <c r="L7" s="7" t="str">
        <f>_xlfn.IFNA(VLOOKUP(I7,'INDEX AND MATCH'!A:D,3,FALSE),"VALUE IS NOT AVAILABLE")</f>
        <v>VALUE IS NOT AVAILABLE</v>
      </c>
      <c r="M7" s="7"/>
      <c r="N7" s="7"/>
    </row>
    <row r="8" spans="1:14" x14ac:dyDescent="0.3">
      <c r="A8" s="7">
        <v>107</v>
      </c>
      <c r="B8" s="7" t="s">
        <v>76</v>
      </c>
      <c r="C8" s="7">
        <v>9793</v>
      </c>
      <c r="D8" s="7">
        <v>1800</v>
      </c>
    </row>
    <row r="9" spans="1:14" x14ac:dyDescent="0.3">
      <c r="A9" s="7">
        <v>103</v>
      </c>
      <c r="B9" s="7" t="s">
        <v>77</v>
      </c>
      <c r="C9" s="7">
        <v>9794</v>
      </c>
      <c r="D9" s="7">
        <v>1400</v>
      </c>
    </row>
    <row r="10" spans="1:14" x14ac:dyDescent="0.3">
      <c r="A10" s="7">
        <v>105</v>
      </c>
      <c r="B10" s="7" t="s">
        <v>78</v>
      </c>
      <c r="C10" s="7">
        <v>9795</v>
      </c>
      <c r="D10" s="7">
        <v>2000</v>
      </c>
    </row>
    <row r="11" spans="1:14" x14ac:dyDescent="0.3">
      <c r="A11" s="7">
        <v>106</v>
      </c>
      <c r="B11" s="7" t="s">
        <v>79</v>
      </c>
      <c r="C11" s="7">
        <v>9796</v>
      </c>
      <c r="D11" s="7">
        <v>1400</v>
      </c>
    </row>
    <row r="12" spans="1:14" x14ac:dyDescent="0.3">
      <c r="A12" s="7">
        <v>109</v>
      </c>
      <c r="B12" s="7" t="s">
        <v>79</v>
      </c>
      <c r="C12" s="7">
        <v>9797</v>
      </c>
      <c r="D12" s="7">
        <v>2000</v>
      </c>
    </row>
    <row r="13" spans="1:14" x14ac:dyDescent="0.3">
      <c r="A13" s="7">
        <v>108</v>
      </c>
      <c r="B13" s="7" t="s">
        <v>80</v>
      </c>
      <c r="C13" s="7">
        <v>9798</v>
      </c>
      <c r="D13" s="7">
        <v>1400</v>
      </c>
    </row>
    <row r="16" spans="1:14" x14ac:dyDescent="0.3">
      <c r="B16" s="4" t="s">
        <v>82</v>
      </c>
    </row>
    <row r="18" spans="1:20" x14ac:dyDescent="0.3">
      <c r="A18" s="7"/>
      <c r="B18" s="7" t="s">
        <v>46</v>
      </c>
      <c r="C18" s="7" t="s">
        <v>92</v>
      </c>
      <c r="D18" s="7" t="s">
        <v>21</v>
      </c>
      <c r="F18" s="7"/>
      <c r="G18" s="7" t="s">
        <v>93</v>
      </c>
      <c r="H18" s="7" t="s">
        <v>94</v>
      </c>
      <c r="I18" s="7" t="s">
        <v>95</v>
      </c>
      <c r="J18" s="7" t="s">
        <v>96</v>
      </c>
      <c r="L18" t="s">
        <v>98</v>
      </c>
      <c r="S18" t="s">
        <v>106</v>
      </c>
      <c r="T18" t="s">
        <v>106</v>
      </c>
    </row>
    <row r="19" spans="1:20" x14ac:dyDescent="0.3">
      <c r="A19" s="7" t="s">
        <v>93</v>
      </c>
      <c r="B19" s="7"/>
      <c r="C19" s="7"/>
      <c r="D19" s="7"/>
      <c r="F19" s="7" t="s">
        <v>46</v>
      </c>
      <c r="G19" s="7">
        <v>400</v>
      </c>
      <c r="H19" s="7">
        <v>450</v>
      </c>
      <c r="I19" s="7">
        <v>100</v>
      </c>
      <c r="J19" s="7">
        <v>5000</v>
      </c>
      <c r="L19">
        <f>HLOOKUP("MARCH",G18:J22,3,FALSE)</f>
        <v>250</v>
      </c>
      <c r="N19" s="7" t="s">
        <v>68</v>
      </c>
      <c r="O19" s="7" t="s">
        <v>99</v>
      </c>
      <c r="P19" s="7" t="s">
        <v>100</v>
      </c>
      <c r="Q19" s="7" t="s">
        <v>101</v>
      </c>
      <c r="R19" s="7"/>
      <c r="S19" s="7" t="s">
        <v>107</v>
      </c>
      <c r="T19" s="20" t="s">
        <v>108</v>
      </c>
    </row>
    <row r="20" spans="1:20" x14ac:dyDescent="0.3">
      <c r="A20" s="7" t="s">
        <v>94</v>
      </c>
      <c r="B20" s="7"/>
      <c r="C20" s="7"/>
      <c r="D20" s="7"/>
      <c r="F20" s="7" t="s">
        <v>92</v>
      </c>
      <c r="G20" s="7">
        <v>140</v>
      </c>
      <c r="H20" s="7">
        <v>150</v>
      </c>
      <c r="I20" s="7">
        <v>250</v>
      </c>
      <c r="J20" s="7">
        <v>1700</v>
      </c>
      <c r="L20">
        <f>HLOOKUP("FEB",G18:J21,3,FALSE)</f>
        <v>150</v>
      </c>
      <c r="N20" s="7">
        <v>101</v>
      </c>
      <c r="O20" s="7" t="s">
        <v>24</v>
      </c>
      <c r="P20" s="7" t="s">
        <v>104</v>
      </c>
      <c r="Q20" s="7">
        <v>1000</v>
      </c>
      <c r="R20" s="7"/>
      <c r="S20" s="7" t="str">
        <f>_xlfn.XLOOKUP(104,N$16:N$28,O$16:O$28,"NOT AVAILABLE",0)</f>
        <v>D</v>
      </c>
      <c r="T20" s="7" t="str">
        <f>_xlfn.XLOOKUP(102,N$16:N$28,P$16:P$28,"NOT FOUND",0)</f>
        <v>DEV</v>
      </c>
    </row>
    <row r="21" spans="1:20" x14ac:dyDescent="0.3">
      <c r="A21" s="7" t="s">
        <v>95</v>
      </c>
      <c r="B21" s="7"/>
      <c r="C21" s="7"/>
      <c r="D21" s="7"/>
      <c r="F21" s="7" t="s">
        <v>21</v>
      </c>
      <c r="G21" s="7">
        <v>25</v>
      </c>
      <c r="H21" s="7">
        <v>50</v>
      </c>
      <c r="I21" s="7">
        <v>60</v>
      </c>
      <c r="J21" s="7">
        <v>75</v>
      </c>
      <c r="N21" s="7">
        <v>102</v>
      </c>
      <c r="O21" s="7" t="s">
        <v>30</v>
      </c>
      <c r="P21" s="7" t="s">
        <v>105</v>
      </c>
      <c r="Q21" s="7">
        <v>2000</v>
      </c>
      <c r="R21" s="7"/>
      <c r="S21" s="7"/>
      <c r="T21" s="7"/>
    </row>
    <row r="22" spans="1:20" x14ac:dyDescent="0.3">
      <c r="A22" s="7" t="s">
        <v>96</v>
      </c>
      <c r="B22" s="7"/>
      <c r="C22" s="7"/>
      <c r="D22" s="7"/>
      <c r="F22" s="7"/>
      <c r="G22" s="7"/>
      <c r="H22" s="7"/>
      <c r="I22" s="7"/>
      <c r="J22" s="7"/>
      <c r="N22" s="7">
        <v>103</v>
      </c>
      <c r="O22" s="7" t="s">
        <v>41</v>
      </c>
      <c r="P22" s="7" t="s">
        <v>104</v>
      </c>
      <c r="Q22" s="7">
        <v>1500</v>
      </c>
      <c r="R22" s="7"/>
      <c r="S22" s="7"/>
      <c r="T22" s="7"/>
    </row>
    <row r="23" spans="1:20" x14ac:dyDescent="0.3">
      <c r="N23" s="7">
        <v>104</v>
      </c>
      <c r="O23" s="7" t="s">
        <v>102</v>
      </c>
      <c r="P23" s="7" t="s">
        <v>105</v>
      </c>
      <c r="Q23" s="7">
        <v>3000</v>
      </c>
      <c r="R23" s="7"/>
      <c r="S23" s="7"/>
      <c r="T23" s="7"/>
    </row>
    <row r="24" spans="1:20" x14ac:dyDescent="0.3">
      <c r="H24" s="21" t="s">
        <v>98</v>
      </c>
      <c r="N24" s="7">
        <v>104</v>
      </c>
      <c r="O24" s="7" t="s">
        <v>103</v>
      </c>
      <c r="P24" s="7" t="s">
        <v>105</v>
      </c>
      <c r="Q24" s="7">
        <v>2500</v>
      </c>
      <c r="R24" s="7"/>
      <c r="S24" s="7"/>
      <c r="T24" s="7"/>
    </row>
    <row r="25" spans="1:20" x14ac:dyDescent="0.3">
      <c r="B25" s="21" t="s">
        <v>97</v>
      </c>
    </row>
    <row r="26" spans="1:20" x14ac:dyDescent="0.3">
      <c r="B26" t="s">
        <v>109</v>
      </c>
      <c r="F26" t="s">
        <v>110</v>
      </c>
      <c r="O26" s="21" t="s">
        <v>106</v>
      </c>
    </row>
    <row r="27" spans="1:20" x14ac:dyDescent="0.3">
      <c r="I27" s="1">
        <v>46064</v>
      </c>
      <c r="Q27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B39C-F6B0-4F64-8239-3E4A9AFD658A}">
  <dimension ref="A1:J27"/>
  <sheetViews>
    <sheetView workbookViewId="0">
      <selection activeCell="U5" sqref="U5"/>
    </sheetView>
  </sheetViews>
  <sheetFormatPr defaultRowHeight="14.4" x14ac:dyDescent="0.3"/>
  <cols>
    <col min="4" max="4" width="10" bestFit="1" customWidth="1"/>
  </cols>
  <sheetData>
    <row r="1" spans="1:10" x14ac:dyDescent="0.3">
      <c r="A1" s="7" t="s">
        <v>146</v>
      </c>
      <c r="B1" s="7" t="s">
        <v>140</v>
      </c>
      <c r="C1" s="7" t="s">
        <v>141</v>
      </c>
      <c r="D1" s="7" t="s">
        <v>142</v>
      </c>
      <c r="E1" s="7" t="s">
        <v>144</v>
      </c>
      <c r="F1" s="7" t="s">
        <v>145</v>
      </c>
      <c r="H1" s="7" t="s">
        <v>146</v>
      </c>
      <c r="I1" s="7" t="s">
        <v>151</v>
      </c>
      <c r="J1" s="7" t="s">
        <v>153</v>
      </c>
    </row>
    <row r="2" spans="1:10" x14ac:dyDescent="0.3">
      <c r="A2" s="7">
        <v>4</v>
      </c>
      <c r="B2" s="7" t="b">
        <f>ISODD(A2)</f>
        <v>0</v>
      </c>
      <c r="C2" s="7" t="b">
        <f>ISEVEN(A2)</f>
        <v>1</v>
      </c>
      <c r="D2" s="7" t="b">
        <f>ISNUMBER(A2)</f>
        <v>1</v>
      </c>
      <c r="E2" s="7" t="b">
        <f>ISBLANK(A2)</f>
        <v>0</v>
      </c>
      <c r="F2" s="7" t="b">
        <f>ISNONTEXT(A2)</f>
        <v>1</v>
      </c>
      <c r="H2" s="7">
        <v>0</v>
      </c>
      <c r="I2" s="7" t="b">
        <f>ISLOGICAL(H2)</f>
        <v>0</v>
      </c>
      <c r="J2" s="7" t="b">
        <f>_xlfn.ISFORMULA(H3)</f>
        <v>0</v>
      </c>
    </row>
    <row r="3" spans="1:10" x14ac:dyDescent="0.3">
      <c r="A3" s="7">
        <v>15</v>
      </c>
      <c r="B3" s="7" t="b">
        <f t="shared" ref="B3:B8" si="0">ISODD(A3)</f>
        <v>1</v>
      </c>
      <c r="C3" s="7" t="b">
        <f t="shared" ref="C3:C8" si="1">ISEVEN(A3)</f>
        <v>0</v>
      </c>
      <c r="D3" s="7" t="b">
        <f t="shared" ref="D3:D8" si="2">ISNUMBER(A3)</f>
        <v>1</v>
      </c>
      <c r="E3" s="7" t="b">
        <f t="shared" ref="E3:E8" si="3">ISBLANK(A3)</f>
        <v>0</v>
      </c>
      <c r="F3" s="7" t="b">
        <f t="shared" ref="F3:F9" si="4">ISNONTEXT(A3)</f>
        <v>1</v>
      </c>
      <c r="H3" s="7" t="b">
        <v>1</v>
      </c>
      <c r="I3" s="7" t="b">
        <f t="shared" ref="I3:I10" si="5">ISLOGICAL(H3)</f>
        <v>1</v>
      </c>
      <c r="J3" s="7" t="b">
        <f t="shared" ref="J3:J4" si="6">_xlfn.ISFORMULA(H4)</f>
        <v>0</v>
      </c>
    </row>
    <row r="4" spans="1:10" x14ac:dyDescent="0.3">
      <c r="A4" s="7">
        <v>14</v>
      </c>
      <c r="B4" s="7" t="b">
        <f t="shared" si="0"/>
        <v>0</v>
      </c>
      <c r="C4" s="7" t="b">
        <f t="shared" si="1"/>
        <v>1</v>
      </c>
      <c r="D4" s="7" t="b">
        <f t="shared" si="2"/>
        <v>1</v>
      </c>
      <c r="E4" s="7" t="b">
        <f t="shared" si="3"/>
        <v>0</v>
      </c>
      <c r="F4" s="7" t="b">
        <f t="shared" si="4"/>
        <v>1</v>
      </c>
      <c r="H4" s="7" t="s">
        <v>147</v>
      </c>
      <c r="I4" s="7" t="b">
        <f t="shared" si="5"/>
        <v>0</v>
      </c>
      <c r="J4" s="7" t="b">
        <f t="shared" si="6"/>
        <v>0</v>
      </c>
    </row>
    <row r="5" spans="1:10" x14ac:dyDescent="0.3">
      <c r="A5" s="7">
        <v>12</v>
      </c>
      <c r="B5" s="7" t="b">
        <f t="shared" si="0"/>
        <v>0</v>
      </c>
      <c r="C5" s="7" t="b">
        <f t="shared" si="1"/>
        <v>1</v>
      </c>
      <c r="D5" s="7" t="b">
        <f t="shared" si="2"/>
        <v>1</v>
      </c>
      <c r="E5" s="7" t="b">
        <f t="shared" si="3"/>
        <v>0</v>
      </c>
      <c r="F5" s="7" t="b">
        <f t="shared" si="4"/>
        <v>1</v>
      </c>
      <c r="H5" s="7" t="s">
        <v>148</v>
      </c>
      <c r="I5" s="7" t="b">
        <f t="shared" si="5"/>
        <v>0</v>
      </c>
      <c r="J5" s="7" t="b">
        <f>_xlfn.ISFORMULA(I5)</f>
        <v>1</v>
      </c>
    </row>
    <row r="6" spans="1:10" x14ac:dyDescent="0.3">
      <c r="A6" s="7">
        <v>7</v>
      </c>
      <c r="B6" s="7" t="b">
        <f t="shared" si="0"/>
        <v>1</v>
      </c>
      <c r="C6" s="7" t="b">
        <f t="shared" si="1"/>
        <v>0</v>
      </c>
      <c r="D6" s="7" t="b">
        <f t="shared" si="2"/>
        <v>1</v>
      </c>
      <c r="E6" s="7" t="b">
        <f t="shared" si="3"/>
        <v>0</v>
      </c>
      <c r="F6" s="7" t="b">
        <f t="shared" si="4"/>
        <v>1</v>
      </c>
      <c r="H6" s="7" t="b">
        <v>0</v>
      </c>
      <c r="I6" s="7" t="b">
        <f>ISLOGICAL(H6)</f>
        <v>1</v>
      </c>
      <c r="J6" s="7"/>
    </row>
    <row r="7" spans="1:10" x14ac:dyDescent="0.3">
      <c r="A7" s="7">
        <v>9</v>
      </c>
      <c r="B7" s="7" t="b">
        <f t="shared" si="0"/>
        <v>1</v>
      </c>
      <c r="C7" s="7" t="b">
        <f t="shared" si="1"/>
        <v>0</v>
      </c>
      <c r="D7" s="7" t="b">
        <f t="shared" si="2"/>
        <v>1</v>
      </c>
      <c r="E7" s="7" t="b">
        <f t="shared" si="3"/>
        <v>0</v>
      </c>
      <c r="F7" s="7" t="b">
        <f t="shared" si="4"/>
        <v>1</v>
      </c>
      <c r="H7" s="7">
        <v>1</v>
      </c>
      <c r="I7" s="7" t="b">
        <f t="shared" si="5"/>
        <v>0</v>
      </c>
      <c r="J7" s="7"/>
    </row>
    <row r="8" spans="1:10" x14ac:dyDescent="0.3">
      <c r="A8" s="7" t="s">
        <v>143</v>
      </c>
      <c r="B8" s="7" t="e">
        <f t="shared" si="0"/>
        <v>#VALUE!</v>
      </c>
      <c r="C8" s="7" t="e">
        <f t="shared" si="1"/>
        <v>#VALUE!</v>
      </c>
      <c r="D8" s="7" t="b">
        <f t="shared" si="2"/>
        <v>0</v>
      </c>
      <c r="E8" s="7" t="b">
        <f t="shared" si="3"/>
        <v>0</v>
      </c>
      <c r="F8" s="7" t="b">
        <f t="shared" si="4"/>
        <v>0</v>
      </c>
      <c r="H8" s="7" t="b">
        <v>1</v>
      </c>
      <c r="I8" s="7" t="b">
        <f t="shared" si="5"/>
        <v>1</v>
      </c>
      <c r="J8" s="7"/>
    </row>
    <row r="9" spans="1:10" x14ac:dyDescent="0.3">
      <c r="A9" s="7"/>
      <c r="B9" s="7"/>
      <c r="C9" s="7"/>
      <c r="D9" s="7"/>
      <c r="E9" s="7" t="b">
        <f>ISBLANK(A9)</f>
        <v>1</v>
      </c>
      <c r="F9" s="7" t="b">
        <f t="shared" si="4"/>
        <v>1</v>
      </c>
      <c r="H9" s="7" t="b">
        <v>0</v>
      </c>
      <c r="I9" s="7" t="b">
        <f t="shared" si="5"/>
        <v>1</v>
      </c>
      <c r="J9" s="7"/>
    </row>
    <row r="10" spans="1:10" x14ac:dyDescent="0.3">
      <c r="A10" s="7"/>
      <c r="B10" s="7"/>
      <c r="C10" s="7"/>
      <c r="D10" s="7"/>
      <c r="E10" s="7"/>
      <c r="F10" s="7"/>
      <c r="H10" s="7" t="s">
        <v>149</v>
      </c>
      <c r="I10" s="7" t="b">
        <f t="shared" si="5"/>
        <v>0</v>
      </c>
      <c r="J10" s="7"/>
    </row>
    <row r="23" spans="2:2" x14ac:dyDescent="0.3">
      <c r="B23" t="s">
        <v>139</v>
      </c>
    </row>
    <row r="25" spans="2:2" x14ac:dyDescent="0.3">
      <c r="B25" t="s">
        <v>150</v>
      </c>
    </row>
    <row r="27" spans="2:2" x14ac:dyDescent="0.3">
      <c r="B27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CAAC-7EB5-41B2-BDE2-73821E7D67A0}">
  <dimension ref="A1:W32"/>
  <sheetViews>
    <sheetView tabSelected="1" zoomScale="95" workbookViewId="0">
      <selection activeCell="T18" sqref="T18"/>
    </sheetView>
  </sheetViews>
  <sheetFormatPr defaultRowHeight="14.4" x14ac:dyDescent="0.3"/>
  <cols>
    <col min="1" max="1" width="12.21875" customWidth="1"/>
    <col min="2" max="2" width="15.88671875" customWidth="1"/>
    <col min="4" max="4" width="17.88671875" customWidth="1"/>
    <col min="8" max="8" width="9.33203125" customWidth="1"/>
    <col min="17" max="17" width="14.44140625" customWidth="1"/>
    <col min="18" max="18" width="12.21875" bestFit="1" customWidth="1"/>
    <col min="19" max="19" width="11.6640625" customWidth="1"/>
    <col min="21" max="21" width="14.77734375" bestFit="1" customWidth="1"/>
  </cols>
  <sheetData>
    <row r="1" spans="1:23" x14ac:dyDescent="0.3">
      <c r="A1" s="22" t="s">
        <v>112</v>
      </c>
      <c r="B1" s="7" t="s">
        <v>114</v>
      </c>
      <c r="C1" s="7" t="s">
        <v>115</v>
      </c>
      <c r="D1" s="7" t="s">
        <v>117</v>
      </c>
      <c r="E1" s="7" t="s">
        <v>118</v>
      </c>
      <c r="F1" s="7" t="s">
        <v>119</v>
      </c>
      <c r="G1" s="7" t="s">
        <v>122</v>
      </c>
      <c r="H1" s="7" t="s">
        <v>123</v>
      </c>
      <c r="I1" s="7" t="s">
        <v>125</v>
      </c>
      <c r="J1" s="7" t="s">
        <v>126</v>
      </c>
      <c r="K1" s="7" t="s">
        <v>127</v>
      </c>
      <c r="L1" s="7" t="s">
        <v>128</v>
      </c>
      <c r="M1" s="7" t="s">
        <v>129</v>
      </c>
      <c r="N1" s="7" t="s">
        <v>130</v>
      </c>
      <c r="O1" s="7" t="s">
        <v>131</v>
      </c>
      <c r="Q1" t="s">
        <v>132</v>
      </c>
      <c r="R1" t="s">
        <v>133</v>
      </c>
      <c r="S1" t="s">
        <v>134</v>
      </c>
      <c r="U1" t="s">
        <v>138</v>
      </c>
      <c r="V1" t="s">
        <v>135</v>
      </c>
      <c r="W1" t="s">
        <v>137</v>
      </c>
    </row>
    <row r="2" spans="1:23" x14ac:dyDescent="0.3">
      <c r="A2" s="7">
        <v>5452</v>
      </c>
      <c r="B2" s="7">
        <f>ABS(A2)</f>
        <v>5452</v>
      </c>
      <c r="C2" s="7">
        <f>SIGN(A2)</f>
        <v>1</v>
      </c>
      <c r="D2" s="7">
        <f>POWER(A2,2)</f>
        <v>29724304</v>
      </c>
      <c r="E2" s="7">
        <f>TRUNC(A2,2)</f>
        <v>5452</v>
      </c>
      <c r="F2" s="7">
        <f>ROUND(A2,2)</f>
        <v>5452</v>
      </c>
      <c r="G2" s="7">
        <f>ROUNDUP(A2,3)</f>
        <v>5452</v>
      </c>
      <c r="H2" s="7">
        <f>INT(A2)</f>
        <v>5452</v>
      </c>
      <c r="I2" s="7">
        <f>A2/3</f>
        <v>1817.3333333333333</v>
      </c>
      <c r="J2" s="7">
        <f>SUM(A:A)</f>
        <v>74970.012599999987</v>
      </c>
      <c r="K2" s="7">
        <f>MOD(A2,3)</f>
        <v>1</v>
      </c>
      <c r="L2" s="7">
        <f>AVERAGE(A:A)</f>
        <v>2998.8005039999994</v>
      </c>
      <c r="M2" s="7">
        <f>MAX(A:A)</f>
        <v>8455</v>
      </c>
      <c r="N2" s="7">
        <f>MIN(A:A)</f>
        <v>-8881</v>
      </c>
      <c r="O2" s="7">
        <f>SQRT(A2)</f>
        <v>73.837659767898927</v>
      </c>
      <c r="Q2">
        <v>87</v>
      </c>
      <c r="R2">
        <f>LARGE(Q2:Q11,2)</f>
        <v>96</v>
      </c>
      <c r="S2">
        <f>SMALL(Q2:Q11,3)</f>
        <v>63</v>
      </c>
      <c r="U2">
        <v>1</v>
      </c>
      <c r="V2">
        <f>MODE(U2:U13)</f>
        <v>4</v>
      </c>
      <c r="W2">
        <f>MEDIAN(U2:U13)</f>
        <v>3.5</v>
      </c>
    </row>
    <row r="3" spans="1:23" x14ac:dyDescent="0.3">
      <c r="A3" s="7">
        <v>-5112</v>
      </c>
      <c r="B3" s="7">
        <f t="shared" ref="B3:B26" si="0">ABS(A3)</f>
        <v>5112</v>
      </c>
      <c r="C3" s="7">
        <f t="shared" ref="C3:C26" si="1">SIGN(A3)</f>
        <v>-1</v>
      </c>
      <c r="D3" s="7">
        <f t="shared" ref="D3:D26" si="2">POWER(A3,2)</f>
        <v>26132544</v>
      </c>
      <c r="E3" s="7">
        <f t="shared" ref="E3:E25" si="3">TRUNC(A3,2)</f>
        <v>-5112</v>
      </c>
      <c r="F3" s="7">
        <f t="shared" ref="F3:F26" si="4">ROUND(A3,2)</f>
        <v>-5112</v>
      </c>
      <c r="G3" s="7">
        <f t="shared" ref="G3:G26" si="5">ROUNDUP(A3,3)</f>
        <v>-5112</v>
      </c>
      <c r="H3" s="7">
        <f t="shared" ref="H3:H26" si="6">INT(A3)</f>
        <v>-5112</v>
      </c>
      <c r="I3" s="7"/>
      <c r="J3" s="7">
        <f t="shared" ref="J3:J26" si="7">SUM(A:A)</f>
        <v>74970.012599999987</v>
      </c>
      <c r="K3" s="7">
        <f t="shared" ref="K3:K26" si="8">MOD(A3,3)</f>
        <v>0</v>
      </c>
      <c r="L3" s="7"/>
      <c r="M3" s="7"/>
      <c r="N3" s="7"/>
      <c r="O3" s="7" t="e">
        <f t="shared" ref="O3:O26" si="9">SQRT(A3)</f>
        <v>#NUM!</v>
      </c>
      <c r="Q3">
        <v>96</v>
      </c>
      <c r="U3">
        <v>4</v>
      </c>
    </row>
    <row r="4" spans="1:23" x14ac:dyDescent="0.3">
      <c r="A4" s="7">
        <v>846.14509999999996</v>
      </c>
      <c r="B4" s="7">
        <f t="shared" si="0"/>
        <v>846.14509999999996</v>
      </c>
      <c r="C4" s="7">
        <f t="shared" si="1"/>
        <v>1</v>
      </c>
      <c r="D4" s="7">
        <f t="shared" si="2"/>
        <v>715961.53025400988</v>
      </c>
      <c r="E4" s="7">
        <f t="shared" si="3"/>
        <v>846.14</v>
      </c>
      <c r="F4" s="7">
        <f t="shared" si="4"/>
        <v>846.15</v>
      </c>
      <c r="G4" s="7">
        <f t="shared" si="5"/>
        <v>846.14599999999996</v>
      </c>
      <c r="H4" s="7">
        <f t="shared" si="6"/>
        <v>846</v>
      </c>
      <c r="I4" s="7"/>
      <c r="J4" s="7">
        <f t="shared" si="7"/>
        <v>74970.012599999987</v>
      </c>
      <c r="K4" s="7">
        <f t="shared" si="8"/>
        <v>0.14509999999995671</v>
      </c>
      <c r="L4" s="7"/>
      <c r="M4" s="7"/>
      <c r="N4" s="7"/>
      <c r="O4" s="7">
        <f t="shared" si="9"/>
        <v>29.088573357935587</v>
      </c>
      <c r="Q4">
        <v>78</v>
      </c>
      <c r="U4">
        <v>1</v>
      </c>
    </row>
    <row r="5" spans="1:23" x14ac:dyDescent="0.3">
      <c r="A5" s="7">
        <v>4155</v>
      </c>
      <c r="B5" s="7">
        <f t="shared" si="0"/>
        <v>4155</v>
      </c>
      <c r="C5" s="7">
        <f t="shared" si="1"/>
        <v>1</v>
      </c>
      <c r="D5" s="7">
        <f t="shared" si="2"/>
        <v>17264025</v>
      </c>
      <c r="E5" s="7">
        <f t="shared" si="3"/>
        <v>4155</v>
      </c>
      <c r="F5" s="7">
        <f t="shared" si="4"/>
        <v>4155</v>
      </c>
      <c r="G5" s="7">
        <f t="shared" si="5"/>
        <v>4155</v>
      </c>
      <c r="H5" s="7">
        <f t="shared" si="6"/>
        <v>4155</v>
      </c>
      <c r="I5" s="7"/>
      <c r="J5" s="7">
        <f t="shared" si="7"/>
        <v>74970.012599999987</v>
      </c>
      <c r="K5" s="7">
        <f t="shared" si="8"/>
        <v>0</v>
      </c>
      <c r="L5" s="7"/>
      <c r="M5" s="7"/>
      <c r="N5" s="7"/>
      <c r="O5" s="7">
        <f t="shared" si="9"/>
        <v>64.459289477933282</v>
      </c>
      <c r="Q5">
        <v>12</v>
      </c>
      <c r="U5">
        <v>4</v>
      </c>
    </row>
    <row r="6" spans="1:23" x14ac:dyDescent="0.3">
      <c r="A6" s="7">
        <v>7894</v>
      </c>
      <c r="B6" s="7">
        <f t="shared" si="0"/>
        <v>7894</v>
      </c>
      <c r="C6" s="7">
        <f t="shared" si="1"/>
        <v>1</v>
      </c>
      <c r="D6" s="7">
        <f t="shared" si="2"/>
        <v>62315236</v>
      </c>
      <c r="E6" s="7">
        <f t="shared" si="3"/>
        <v>7894</v>
      </c>
      <c r="F6" s="7">
        <f t="shared" si="4"/>
        <v>7894</v>
      </c>
      <c r="G6" s="7">
        <f t="shared" si="5"/>
        <v>7894</v>
      </c>
      <c r="H6" s="7">
        <f t="shared" si="6"/>
        <v>7894</v>
      </c>
      <c r="I6" s="7"/>
      <c r="J6" s="7">
        <f t="shared" si="7"/>
        <v>74970.012599999987</v>
      </c>
      <c r="K6" s="7">
        <f t="shared" si="8"/>
        <v>1</v>
      </c>
      <c r="L6" s="7"/>
      <c r="M6" s="7"/>
      <c r="N6" s="7"/>
      <c r="O6" s="7">
        <f t="shared" si="9"/>
        <v>88.848185124964715</v>
      </c>
      <c r="Q6">
        <v>45</v>
      </c>
      <c r="U6">
        <v>2</v>
      </c>
    </row>
    <row r="7" spans="1:23" x14ac:dyDescent="0.3">
      <c r="A7" s="7">
        <v>5632</v>
      </c>
      <c r="B7" s="7">
        <f t="shared" si="0"/>
        <v>5632</v>
      </c>
      <c r="C7" s="7">
        <f t="shared" si="1"/>
        <v>1</v>
      </c>
      <c r="D7" s="7">
        <f t="shared" si="2"/>
        <v>31719424</v>
      </c>
      <c r="E7" s="7">
        <f t="shared" si="3"/>
        <v>5632</v>
      </c>
      <c r="F7" s="7">
        <f t="shared" si="4"/>
        <v>5632</v>
      </c>
      <c r="G7" s="7">
        <f t="shared" si="5"/>
        <v>5632</v>
      </c>
      <c r="H7" s="7">
        <f t="shared" si="6"/>
        <v>5632</v>
      </c>
      <c r="I7" s="7"/>
      <c r="J7" s="7">
        <f t="shared" si="7"/>
        <v>74970.012599999987</v>
      </c>
      <c r="K7" s="7">
        <f t="shared" si="8"/>
        <v>1</v>
      </c>
      <c r="L7" s="7"/>
      <c r="M7" s="7"/>
      <c r="N7" s="7"/>
      <c r="O7" s="7">
        <f t="shared" si="9"/>
        <v>75.046652157174876</v>
      </c>
      <c r="Q7">
        <v>63</v>
      </c>
      <c r="U7">
        <v>2</v>
      </c>
    </row>
    <row r="8" spans="1:23" x14ac:dyDescent="0.3">
      <c r="A8" s="7">
        <v>1238</v>
      </c>
      <c r="B8" s="7">
        <f t="shared" si="0"/>
        <v>1238</v>
      </c>
      <c r="C8" s="7">
        <f t="shared" si="1"/>
        <v>1</v>
      </c>
      <c r="D8" s="7">
        <f t="shared" si="2"/>
        <v>1532644</v>
      </c>
      <c r="E8" s="7">
        <f t="shared" si="3"/>
        <v>1238</v>
      </c>
      <c r="F8" s="7">
        <f t="shared" si="4"/>
        <v>1238</v>
      </c>
      <c r="G8" s="7">
        <f t="shared" si="5"/>
        <v>1238</v>
      </c>
      <c r="H8" s="7">
        <f t="shared" si="6"/>
        <v>1238</v>
      </c>
      <c r="I8" s="7"/>
      <c r="J8" s="7">
        <f t="shared" si="7"/>
        <v>74970.012599999987</v>
      </c>
      <c r="K8" s="7">
        <f t="shared" si="8"/>
        <v>2</v>
      </c>
      <c r="L8" s="7"/>
      <c r="M8" s="7"/>
      <c r="N8" s="7"/>
      <c r="O8" s="7">
        <f t="shared" si="9"/>
        <v>35.185224171518364</v>
      </c>
      <c r="Q8">
        <v>78</v>
      </c>
      <c r="U8">
        <v>2</v>
      </c>
    </row>
    <row r="9" spans="1:23" x14ac:dyDescent="0.3">
      <c r="A9" s="7">
        <v>-1515</v>
      </c>
      <c r="B9" s="7">
        <f t="shared" si="0"/>
        <v>1515</v>
      </c>
      <c r="C9" s="7">
        <f t="shared" si="1"/>
        <v>-1</v>
      </c>
      <c r="D9" s="7">
        <f t="shared" si="2"/>
        <v>2295225</v>
      </c>
      <c r="E9" s="7">
        <f t="shared" si="3"/>
        <v>-1515</v>
      </c>
      <c r="F9" s="7">
        <f t="shared" si="4"/>
        <v>-1515</v>
      </c>
      <c r="G9" s="7">
        <f t="shared" si="5"/>
        <v>-1515</v>
      </c>
      <c r="H9" s="7">
        <f t="shared" si="6"/>
        <v>-1515</v>
      </c>
      <c r="I9" s="7"/>
      <c r="J9" s="7">
        <f t="shared" si="7"/>
        <v>74970.012599999987</v>
      </c>
      <c r="K9" s="7">
        <f t="shared" si="8"/>
        <v>0</v>
      </c>
      <c r="L9" s="7"/>
      <c r="M9" s="7"/>
      <c r="N9" s="7"/>
      <c r="O9" s="7" t="e">
        <f t="shared" si="9"/>
        <v>#NUM!</v>
      </c>
      <c r="Q9">
        <v>96</v>
      </c>
      <c r="U9">
        <v>3</v>
      </c>
    </row>
    <row r="10" spans="1:23" x14ac:dyDescent="0.3">
      <c r="A10" s="7">
        <v>2356.5445</v>
      </c>
      <c r="B10" s="7">
        <f t="shared" si="0"/>
        <v>2356.5445</v>
      </c>
      <c r="C10" s="7">
        <f t="shared" si="1"/>
        <v>1</v>
      </c>
      <c r="D10" s="7">
        <f t="shared" si="2"/>
        <v>5553301.98048025</v>
      </c>
      <c r="E10" s="7">
        <f t="shared" si="3"/>
        <v>2356.54</v>
      </c>
      <c r="F10" s="7">
        <f t="shared" si="4"/>
        <v>2356.54</v>
      </c>
      <c r="G10" s="7">
        <f>ROUNDUP(A10,3)</f>
        <v>2356.5450000000001</v>
      </c>
      <c r="H10" s="7">
        <f t="shared" si="6"/>
        <v>2356</v>
      </c>
      <c r="I10" s="7"/>
      <c r="J10" s="7">
        <f t="shared" si="7"/>
        <v>74970.012599999987</v>
      </c>
      <c r="K10" s="7">
        <f t="shared" si="8"/>
        <v>1.5444999999999709</v>
      </c>
      <c r="L10" s="7"/>
      <c r="M10" s="7"/>
      <c r="N10" s="7"/>
      <c r="O10" s="7">
        <f t="shared" si="9"/>
        <v>48.54425300692143</v>
      </c>
      <c r="Q10">
        <v>75</v>
      </c>
      <c r="U10">
        <v>4</v>
      </c>
    </row>
    <row r="11" spans="1:23" x14ac:dyDescent="0.3">
      <c r="A11" s="7">
        <v>8412</v>
      </c>
      <c r="B11" s="7">
        <f t="shared" si="0"/>
        <v>8412</v>
      </c>
      <c r="C11" s="7">
        <f t="shared" si="1"/>
        <v>1</v>
      </c>
      <c r="D11" s="7">
        <f t="shared" si="2"/>
        <v>70761744</v>
      </c>
      <c r="E11" s="7">
        <f t="shared" si="3"/>
        <v>8412</v>
      </c>
      <c r="F11" s="7">
        <f t="shared" si="4"/>
        <v>8412</v>
      </c>
      <c r="G11" s="7">
        <f t="shared" si="5"/>
        <v>8412</v>
      </c>
      <c r="H11" s="7">
        <f t="shared" si="6"/>
        <v>8412</v>
      </c>
      <c r="I11" s="7"/>
      <c r="J11" s="7">
        <f t="shared" si="7"/>
        <v>74970.012599999987</v>
      </c>
      <c r="K11" s="7">
        <f t="shared" si="8"/>
        <v>0</v>
      </c>
      <c r="L11" s="7"/>
      <c r="M11" s="7"/>
      <c r="N11" s="7"/>
      <c r="O11" s="7">
        <f t="shared" si="9"/>
        <v>91.716955902384811</v>
      </c>
      <c r="Q11">
        <v>98</v>
      </c>
      <c r="U11">
        <v>4</v>
      </c>
    </row>
    <row r="12" spans="1:23" x14ac:dyDescent="0.3">
      <c r="A12" s="7">
        <v>-1646</v>
      </c>
      <c r="B12" s="7">
        <f t="shared" si="0"/>
        <v>1646</v>
      </c>
      <c r="C12" s="7">
        <f t="shared" si="1"/>
        <v>-1</v>
      </c>
      <c r="D12" s="7">
        <f t="shared" si="2"/>
        <v>2709316</v>
      </c>
      <c r="E12" s="7">
        <f t="shared" si="3"/>
        <v>-1646</v>
      </c>
      <c r="F12" s="7">
        <f t="shared" si="4"/>
        <v>-1646</v>
      </c>
      <c r="G12" s="7">
        <f t="shared" si="5"/>
        <v>-1646</v>
      </c>
      <c r="H12" s="7">
        <f t="shared" si="6"/>
        <v>-1646</v>
      </c>
      <c r="I12" s="7"/>
      <c r="J12" s="7">
        <f t="shared" si="7"/>
        <v>74970.012599999987</v>
      </c>
      <c r="K12" s="7">
        <f t="shared" si="8"/>
        <v>1</v>
      </c>
      <c r="L12" s="7"/>
      <c r="M12" s="7"/>
      <c r="N12" s="7"/>
      <c r="O12" s="7" t="e">
        <f t="shared" si="9"/>
        <v>#NUM!</v>
      </c>
      <c r="U12">
        <v>4</v>
      </c>
    </row>
    <row r="13" spans="1:23" x14ac:dyDescent="0.3">
      <c r="A13" s="7">
        <v>6546</v>
      </c>
      <c r="B13" s="7">
        <f t="shared" si="0"/>
        <v>6546</v>
      </c>
      <c r="C13" s="7">
        <f t="shared" si="1"/>
        <v>1</v>
      </c>
      <c r="D13" s="7">
        <f t="shared" si="2"/>
        <v>42850116</v>
      </c>
      <c r="E13" s="7">
        <f t="shared" si="3"/>
        <v>6546</v>
      </c>
      <c r="F13" s="7">
        <f t="shared" si="4"/>
        <v>6546</v>
      </c>
      <c r="G13" s="7">
        <f t="shared" si="5"/>
        <v>6546</v>
      </c>
      <c r="H13" s="7">
        <f t="shared" si="6"/>
        <v>6546</v>
      </c>
      <c r="I13" s="7"/>
      <c r="J13" s="7">
        <f t="shared" si="7"/>
        <v>74970.012599999987</v>
      </c>
      <c r="K13" s="7">
        <f t="shared" si="8"/>
        <v>0</v>
      </c>
      <c r="L13" s="7"/>
      <c r="M13" s="7"/>
      <c r="N13" s="7"/>
      <c r="O13" s="7">
        <f t="shared" si="9"/>
        <v>80.907354424675134</v>
      </c>
      <c r="U13">
        <v>7</v>
      </c>
    </row>
    <row r="14" spans="1:23" x14ac:dyDescent="0.3">
      <c r="A14" s="7">
        <v>5451</v>
      </c>
      <c r="B14" s="7">
        <f t="shared" si="0"/>
        <v>5451</v>
      </c>
      <c r="C14" s="7">
        <f t="shared" si="1"/>
        <v>1</v>
      </c>
      <c r="D14" s="7">
        <f t="shared" si="2"/>
        <v>29713401</v>
      </c>
      <c r="E14" s="7">
        <f t="shared" si="3"/>
        <v>5451</v>
      </c>
      <c r="F14" s="7">
        <f t="shared" si="4"/>
        <v>5451</v>
      </c>
      <c r="G14" s="7">
        <f t="shared" si="5"/>
        <v>5451</v>
      </c>
      <c r="H14" s="7">
        <f t="shared" si="6"/>
        <v>5451</v>
      </c>
      <c r="I14" s="7"/>
      <c r="J14" s="7">
        <f t="shared" si="7"/>
        <v>74970.012599999987</v>
      </c>
      <c r="K14" s="7">
        <f t="shared" si="8"/>
        <v>0</v>
      </c>
      <c r="L14" s="7"/>
      <c r="M14" s="7"/>
      <c r="N14" s="7"/>
      <c r="O14" s="7">
        <f t="shared" si="9"/>
        <v>73.830887845128885</v>
      </c>
    </row>
    <row r="15" spans="1:23" x14ac:dyDescent="0.3">
      <c r="A15" s="7">
        <v>5213</v>
      </c>
      <c r="B15" s="7">
        <f t="shared" si="0"/>
        <v>5213</v>
      </c>
      <c r="C15" s="7">
        <f t="shared" si="1"/>
        <v>1</v>
      </c>
      <c r="D15" s="7">
        <f t="shared" si="2"/>
        <v>27175369</v>
      </c>
      <c r="E15" s="7">
        <f t="shared" si="3"/>
        <v>5213</v>
      </c>
      <c r="F15" s="7">
        <f t="shared" si="4"/>
        <v>5213</v>
      </c>
      <c r="G15" s="7">
        <f t="shared" si="5"/>
        <v>5213</v>
      </c>
      <c r="H15" s="7">
        <f t="shared" si="6"/>
        <v>5213</v>
      </c>
      <c r="I15" s="7"/>
      <c r="J15" s="7">
        <f t="shared" si="7"/>
        <v>74970.012599999987</v>
      </c>
      <c r="K15" s="7">
        <f t="shared" si="8"/>
        <v>2</v>
      </c>
      <c r="L15" s="7"/>
      <c r="M15" s="7"/>
      <c r="N15" s="7"/>
      <c r="O15" s="7">
        <f t="shared" si="9"/>
        <v>72.201108024738787</v>
      </c>
    </row>
    <row r="16" spans="1:23" x14ac:dyDescent="0.3">
      <c r="A16" s="7">
        <v>4789</v>
      </c>
      <c r="B16" s="7">
        <f t="shared" si="0"/>
        <v>4789</v>
      </c>
      <c r="C16" s="7">
        <f t="shared" si="1"/>
        <v>1</v>
      </c>
      <c r="D16" s="7">
        <f t="shared" si="2"/>
        <v>22934521</v>
      </c>
      <c r="E16" s="7">
        <f t="shared" si="3"/>
        <v>4789</v>
      </c>
      <c r="F16" s="7">
        <f t="shared" si="4"/>
        <v>4789</v>
      </c>
      <c r="G16" s="7">
        <f t="shared" si="5"/>
        <v>4789</v>
      </c>
      <c r="H16" s="7">
        <f t="shared" si="6"/>
        <v>4789</v>
      </c>
      <c r="I16" s="7"/>
      <c r="J16" s="7">
        <f t="shared" si="7"/>
        <v>74970.012599999987</v>
      </c>
      <c r="K16" s="7">
        <f t="shared" si="8"/>
        <v>1</v>
      </c>
      <c r="L16" s="7"/>
      <c r="M16" s="7"/>
      <c r="N16" s="7"/>
      <c r="O16" s="7">
        <f t="shared" si="9"/>
        <v>69.202601107183824</v>
      </c>
    </row>
    <row r="17" spans="1:20" x14ac:dyDescent="0.3">
      <c r="A17" s="7">
        <v>1.323</v>
      </c>
      <c r="B17" s="7">
        <f t="shared" si="0"/>
        <v>1.323</v>
      </c>
      <c r="C17" s="7">
        <f t="shared" si="1"/>
        <v>1</v>
      </c>
      <c r="D17" s="7">
        <f t="shared" si="2"/>
        <v>1.7503289999999998</v>
      </c>
      <c r="E17" s="7">
        <f t="shared" si="3"/>
        <v>1.32</v>
      </c>
      <c r="F17" s="7">
        <f t="shared" si="4"/>
        <v>1.32</v>
      </c>
      <c r="G17" s="7">
        <f t="shared" si="5"/>
        <v>1.323</v>
      </c>
      <c r="H17" s="7">
        <f t="shared" si="6"/>
        <v>1</v>
      </c>
      <c r="I17" s="7"/>
      <c r="J17" s="7">
        <f t="shared" si="7"/>
        <v>74970.012599999987</v>
      </c>
      <c r="K17" s="7">
        <f t="shared" si="8"/>
        <v>1.323</v>
      </c>
      <c r="L17" s="7"/>
      <c r="M17" s="7"/>
      <c r="N17" s="7"/>
      <c r="O17" s="7">
        <f t="shared" si="9"/>
        <v>1.1502173707608487</v>
      </c>
      <c r="T17" t="s">
        <v>136</v>
      </c>
    </row>
    <row r="18" spans="1:20" x14ac:dyDescent="0.3">
      <c r="A18" s="7">
        <v>4521</v>
      </c>
      <c r="B18" s="7">
        <f t="shared" si="0"/>
        <v>4521</v>
      </c>
      <c r="C18" s="7">
        <f t="shared" si="1"/>
        <v>1</v>
      </c>
      <c r="D18" s="7">
        <f t="shared" si="2"/>
        <v>20439441</v>
      </c>
      <c r="E18" s="7">
        <f t="shared" si="3"/>
        <v>4521</v>
      </c>
      <c r="F18" s="7">
        <f t="shared" si="4"/>
        <v>4521</v>
      </c>
      <c r="G18" s="7">
        <f t="shared" si="5"/>
        <v>4521</v>
      </c>
      <c r="H18" s="7">
        <f t="shared" si="6"/>
        <v>4521</v>
      </c>
      <c r="I18" s="7"/>
      <c r="J18" s="7">
        <f t="shared" si="7"/>
        <v>74970.012599999987</v>
      </c>
      <c r="K18" s="7">
        <f t="shared" si="8"/>
        <v>0</v>
      </c>
      <c r="L18" s="7"/>
      <c r="M18" s="7"/>
      <c r="N18" s="7"/>
      <c r="O18" s="7">
        <f t="shared" si="9"/>
        <v>67.238381896056964</v>
      </c>
    </row>
    <row r="19" spans="1:20" x14ac:dyDescent="0.3">
      <c r="A19" s="7">
        <v>7962</v>
      </c>
      <c r="B19" s="7">
        <f t="shared" si="0"/>
        <v>7962</v>
      </c>
      <c r="C19" s="7">
        <f t="shared" si="1"/>
        <v>1</v>
      </c>
      <c r="D19" s="7">
        <f t="shared" si="2"/>
        <v>63393444</v>
      </c>
      <c r="E19" s="7">
        <f t="shared" si="3"/>
        <v>7962</v>
      </c>
      <c r="F19" s="7">
        <f t="shared" si="4"/>
        <v>7962</v>
      </c>
      <c r="G19" s="7">
        <f t="shared" si="5"/>
        <v>7962</v>
      </c>
      <c r="H19" s="7">
        <f t="shared" si="6"/>
        <v>7962</v>
      </c>
      <c r="I19" s="7"/>
      <c r="J19" s="7">
        <f t="shared" si="7"/>
        <v>74970.012599999987</v>
      </c>
      <c r="K19" s="7">
        <f t="shared" si="8"/>
        <v>0</v>
      </c>
      <c r="L19" s="7"/>
      <c r="M19" s="7"/>
      <c r="N19" s="7"/>
      <c r="O19" s="7">
        <f t="shared" si="9"/>
        <v>89.230039784816867</v>
      </c>
    </row>
    <row r="20" spans="1:20" x14ac:dyDescent="0.3">
      <c r="A20" s="7">
        <v>1122</v>
      </c>
      <c r="B20" s="7">
        <f t="shared" si="0"/>
        <v>1122</v>
      </c>
      <c r="C20" s="7">
        <f t="shared" si="1"/>
        <v>1</v>
      </c>
      <c r="D20" s="7">
        <f t="shared" si="2"/>
        <v>1258884</v>
      </c>
      <c r="E20" s="7">
        <f t="shared" si="3"/>
        <v>1122</v>
      </c>
      <c r="F20" s="7">
        <f t="shared" si="4"/>
        <v>1122</v>
      </c>
      <c r="G20" s="7">
        <f t="shared" si="5"/>
        <v>1122</v>
      </c>
      <c r="H20" s="7">
        <f t="shared" si="6"/>
        <v>1122</v>
      </c>
      <c r="I20" s="7"/>
      <c r="J20" s="7">
        <f t="shared" si="7"/>
        <v>74970.012599999987</v>
      </c>
      <c r="K20" s="7">
        <f t="shared" si="8"/>
        <v>0</v>
      </c>
      <c r="L20" s="7"/>
      <c r="M20" s="7"/>
      <c r="N20" s="7"/>
      <c r="O20" s="7">
        <f t="shared" si="9"/>
        <v>33.496268448888451</v>
      </c>
    </row>
    <row r="21" spans="1:20" x14ac:dyDescent="0.3">
      <c r="A21" s="7">
        <v>1111</v>
      </c>
      <c r="B21" s="7">
        <f t="shared" si="0"/>
        <v>1111</v>
      </c>
      <c r="C21" s="7">
        <f t="shared" si="1"/>
        <v>1</v>
      </c>
      <c r="D21" s="7">
        <f t="shared" si="2"/>
        <v>1234321</v>
      </c>
      <c r="E21" s="7">
        <f t="shared" si="3"/>
        <v>1111</v>
      </c>
      <c r="F21" s="7">
        <f t="shared" si="4"/>
        <v>1111</v>
      </c>
      <c r="G21" s="7">
        <f t="shared" si="5"/>
        <v>1111</v>
      </c>
      <c r="H21" s="7">
        <f t="shared" si="6"/>
        <v>1111</v>
      </c>
      <c r="I21" s="7"/>
      <c r="J21" s="7">
        <f t="shared" si="7"/>
        <v>74970.012599999987</v>
      </c>
      <c r="K21" s="7">
        <f t="shared" si="8"/>
        <v>1</v>
      </c>
      <c r="L21" s="7"/>
      <c r="M21" s="7"/>
      <c r="N21" s="7"/>
      <c r="O21" s="7">
        <f t="shared" si="9"/>
        <v>33.331666624997915</v>
      </c>
    </row>
    <row r="22" spans="1:20" x14ac:dyDescent="0.3">
      <c r="A22" s="7">
        <v>2222</v>
      </c>
      <c r="B22" s="7">
        <f t="shared" si="0"/>
        <v>2222</v>
      </c>
      <c r="C22" s="7">
        <f t="shared" si="1"/>
        <v>1</v>
      </c>
      <c r="D22" s="7">
        <f t="shared" si="2"/>
        <v>4937284</v>
      </c>
      <c r="E22" s="7">
        <f t="shared" si="3"/>
        <v>2222</v>
      </c>
      <c r="F22" s="7">
        <f t="shared" si="4"/>
        <v>2222</v>
      </c>
      <c r="G22" s="7">
        <f t="shared" si="5"/>
        <v>2222</v>
      </c>
      <c r="H22" s="7">
        <f t="shared" si="6"/>
        <v>2222</v>
      </c>
      <c r="I22" s="7"/>
      <c r="J22" s="7">
        <f t="shared" si="7"/>
        <v>74970.012599999987</v>
      </c>
      <c r="K22" s="7">
        <f t="shared" si="8"/>
        <v>2</v>
      </c>
      <c r="L22" s="7"/>
      <c r="M22" s="7"/>
      <c r="N22" s="7"/>
      <c r="O22" s="7">
        <f t="shared" si="9"/>
        <v>47.138094997570704</v>
      </c>
    </row>
    <row r="23" spans="1:20" x14ac:dyDescent="0.3">
      <c r="A23" s="7">
        <v>3333</v>
      </c>
      <c r="B23" s="7">
        <f t="shared" si="0"/>
        <v>3333</v>
      </c>
      <c r="C23" s="7">
        <f t="shared" si="1"/>
        <v>1</v>
      </c>
      <c r="D23" s="7">
        <f t="shared" si="2"/>
        <v>11108889</v>
      </c>
      <c r="E23" s="7">
        <f t="shared" si="3"/>
        <v>3333</v>
      </c>
      <c r="F23" s="7">
        <f t="shared" si="4"/>
        <v>3333</v>
      </c>
      <c r="G23" s="7">
        <f t="shared" si="5"/>
        <v>3333</v>
      </c>
      <c r="H23" s="7">
        <f t="shared" si="6"/>
        <v>3333</v>
      </c>
      <c r="I23" s="7"/>
      <c r="J23" s="7">
        <f t="shared" si="7"/>
        <v>74970.012599999987</v>
      </c>
      <c r="K23" s="7">
        <f t="shared" si="8"/>
        <v>0</v>
      </c>
      <c r="L23" s="7"/>
      <c r="M23" s="7"/>
      <c r="N23" s="7"/>
      <c r="O23" s="7">
        <f t="shared" si="9"/>
        <v>57.732140095444237</v>
      </c>
    </row>
    <row r="24" spans="1:20" x14ac:dyDescent="0.3">
      <c r="A24" s="7">
        <v>5412</v>
      </c>
      <c r="B24" s="7">
        <f t="shared" si="0"/>
        <v>5412</v>
      </c>
      <c r="C24" s="7">
        <f t="shared" si="1"/>
        <v>1</v>
      </c>
      <c r="D24" s="7">
        <f t="shared" si="2"/>
        <v>29289744</v>
      </c>
      <c r="E24" s="7">
        <f t="shared" si="3"/>
        <v>5412</v>
      </c>
      <c r="F24" s="7">
        <f t="shared" si="4"/>
        <v>5412</v>
      </c>
      <c r="G24" s="7">
        <f t="shared" si="5"/>
        <v>5412</v>
      </c>
      <c r="H24" s="7">
        <f t="shared" si="6"/>
        <v>5412</v>
      </c>
      <c r="I24" s="7"/>
      <c r="J24" s="7">
        <f t="shared" si="7"/>
        <v>74970.012599999987</v>
      </c>
      <c r="K24" s="7">
        <f t="shared" si="8"/>
        <v>0</v>
      </c>
      <c r="L24" s="7"/>
      <c r="M24" s="7"/>
      <c r="N24" s="7"/>
      <c r="O24" s="7">
        <f t="shared" si="9"/>
        <v>73.566296630998082</v>
      </c>
    </row>
    <row r="25" spans="1:20" x14ac:dyDescent="0.3">
      <c r="A25" s="7">
        <v>-8881</v>
      </c>
      <c r="B25" s="7">
        <f t="shared" si="0"/>
        <v>8881</v>
      </c>
      <c r="C25" s="7">
        <f t="shared" si="1"/>
        <v>-1</v>
      </c>
      <c r="D25" s="7">
        <f t="shared" si="2"/>
        <v>78872161</v>
      </c>
      <c r="E25" s="7">
        <f t="shared" si="3"/>
        <v>-8881</v>
      </c>
      <c r="F25" s="7">
        <f t="shared" si="4"/>
        <v>-8881</v>
      </c>
      <c r="G25" s="7">
        <f t="shared" si="5"/>
        <v>-8881</v>
      </c>
      <c r="H25" s="7">
        <f t="shared" si="6"/>
        <v>-8881</v>
      </c>
      <c r="I25" s="7"/>
      <c r="J25" s="7">
        <f t="shared" si="7"/>
        <v>74970.012599999987</v>
      </c>
      <c r="K25" s="7">
        <f t="shared" si="8"/>
        <v>2</v>
      </c>
      <c r="L25" s="7"/>
      <c r="M25" s="7"/>
      <c r="N25" s="7"/>
      <c r="O25" s="7" t="e">
        <f t="shared" si="9"/>
        <v>#NUM!</v>
      </c>
    </row>
    <row r="26" spans="1:20" x14ac:dyDescent="0.3">
      <c r="A26" s="7">
        <v>8455</v>
      </c>
      <c r="B26" s="7">
        <f t="shared" si="0"/>
        <v>8455</v>
      </c>
      <c r="C26" s="7">
        <f t="shared" si="1"/>
        <v>1</v>
      </c>
      <c r="D26" s="7">
        <f t="shared" si="2"/>
        <v>71487025</v>
      </c>
      <c r="E26" s="7">
        <f>TRUNC(A26,2)</f>
        <v>8455</v>
      </c>
      <c r="F26" s="7">
        <f t="shared" si="4"/>
        <v>8455</v>
      </c>
      <c r="G26" s="7">
        <f t="shared" si="5"/>
        <v>8455</v>
      </c>
      <c r="H26" s="7">
        <f t="shared" si="6"/>
        <v>8455</v>
      </c>
      <c r="I26" s="7"/>
      <c r="J26" s="7">
        <f t="shared" si="7"/>
        <v>74970.012599999987</v>
      </c>
      <c r="K26" s="7">
        <f t="shared" si="8"/>
        <v>1</v>
      </c>
      <c r="L26" s="7"/>
      <c r="M26" s="7"/>
      <c r="N26" s="7"/>
      <c r="O26" s="7">
        <f t="shared" si="9"/>
        <v>91.951073946963774</v>
      </c>
    </row>
    <row r="28" spans="1:20" x14ac:dyDescent="0.3">
      <c r="B28" t="s">
        <v>113</v>
      </c>
    </row>
    <row r="29" spans="1:20" x14ac:dyDescent="0.3">
      <c r="B29" t="s">
        <v>116</v>
      </c>
    </row>
    <row r="30" spans="1:20" x14ac:dyDescent="0.3">
      <c r="B30" t="s">
        <v>120</v>
      </c>
    </row>
    <row r="31" spans="1:20" x14ac:dyDescent="0.3">
      <c r="B31" t="s">
        <v>121</v>
      </c>
    </row>
    <row r="32" spans="1:20" x14ac:dyDescent="0.3">
      <c r="B3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date &amp;time</vt:lpstr>
      <vt:lpstr>string</vt:lpstr>
      <vt:lpstr>SUM,AVG&amp;COUNT IF and ifs</vt:lpstr>
      <vt:lpstr>IF CONDITION</vt:lpstr>
      <vt:lpstr>INDEX AND MATCH</vt:lpstr>
      <vt:lpstr>AND OR</vt:lpstr>
      <vt:lpstr>V,H,X LOOKUP</vt:lpstr>
      <vt:lpstr>logical functions</vt:lpstr>
      <vt:lpstr>NUMERICAL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Subashree Selvakumar</cp:lastModifiedBy>
  <dcterms:created xsi:type="dcterms:W3CDTF">2026-02-04T03:17:10Z</dcterms:created>
  <dcterms:modified xsi:type="dcterms:W3CDTF">2026-03-12T06:17:20Z</dcterms:modified>
</cp:coreProperties>
</file>